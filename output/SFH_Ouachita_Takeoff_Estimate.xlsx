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Summary" sheetId="2" state="visible" r:id="rId4"/>
    <sheet name="Drawing Register" sheetId="3" state="visible" r:id="rId5"/>
    <sheet name="Assumptions &amp; RFIs" sheetId="4" state="visible" r:id="rId6"/>
    <sheet name="Takeoff Detail" sheetId="5" state="visible" r:id="rId7"/>
    <sheet name="Cost Database" sheetId="6" state="visible" r:id="rId8"/>
    <sheet name="Estimate Detail" sheetId="7" state="visible" r:id="rId9"/>
    <sheet name="Reconciliation" sheetId="8" state="visible" r:id="rId10"/>
  </sheets>
  <definedNames>
    <definedName function="false" hidden="false" localSheetId="3" name="_xlnm.Print_Titles" vbProcedure="false">'Assumptions &amp; RFIs'!$1:$1</definedName>
    <definedName function="false" hidden="true" localSheetId="3" name="_xlnm._FilterDatabase" vbProcedure="false">'Assumptions &amp; RFIs'!$A$1:$H$28</definedName>
    <definedName function="false" hidden="false" localSheetId="5" name="_xlnm.Print_Titles" vbProcedure="false">'Cost Database'!$1:$1</definedName>
    <definedName function="false" hidden="false" localSheetId="2" name="_xlnm.Print_Titles" vbProcedure="false">'Drawing Register'!$1:$1</definedName>
    <definedName function="false" hidden="false" localSheetId="6" name="_xlnm.Print_Titles" vbProcedure="false">'Estimate Detail'!$1:$1</definedName>
    <definedName function="false" hidden="false" localSheetId="7" name="_xlnm.Print_Titles" vbProcedure="false">Reconciliation!$1:$1</definedName>
    <definedName function="false" hidden="false" localSheetId="4" name="_xlnm.Print_Titles" vbProcedure="false">'Takeoff Detail'!$1:$1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<sst xmlns="http://schemas.openxmlformats.org/spreadsheetml/2006/main" count="4823" uniqueCount="1012">
  <si>
    <t xml:space="preserve">SFH DEVELOPMENT - QUANTITY TAKEOFF &amp; PRELIMINARY ESTIMATE</t>
  </si>
  <si>
    <t xml:space="preserve">Project</t>
  </si>
  <si>
    <t xml:space="preserve">SFH Development - single-family spec home (Sidney Aulds Building Studio)</t>
  </si>
  <si>
    <t xml:space="preserve">Owner</t>
  </si>
  <si>
    <t xml:space="preserve">Chris Hill</t>
  </si>
  <si>
    <t xml:space="preserve">Location</t>
  </si>
  <si>
    <t xml:space="preserve">Ouachita Parish, Louisiana (address TBD - drawings 'Enter address here')</t>
  </si>
  <si>
    <t xml:space="preserve">Building</t>
  </si>
  <si>
    <t xml:space="preserve">1-story, slab-on-grade, 2 bed / 2 bath. 1,352 gsf conditioned + 117 gsf porch + 504 gsf covered parking = 1,973 gsf (design notes)</t>
  </si>
  <si>
    <t xml:space="preserve">Estimate purpose / class</t>
  </si>
  <si>
    <t xml:space="preserve">Preliminary budget estimate (AACE Class 4-ish, schematic/progress drawings). NOT a bid. Expected accuracy roughly -15% / +25%.</t>
  </si>
  <si>
    <t xml:space="preserve">Drawings used</t>
  </si>
  <si>
    <t xml:space="preserve">2305031 Progress Drawings dated 5/31/2023 - G000 (cover), A100, A101, A401, A701 - stamped 'NOT FOR CONSTRUCTION'; Spec Home Schematic Design Notes (3 pp).</t>
  </si>
  <si>
    <t xml:space="preserve">Estimate date / price date</t>
  </si>
  <si>
    <t xml:space="preserve">2026-10-15</t>
  </si>
  <si>
    <t xml:space="preserve">Units / currency</t>
  </si>
  <si>
    <t xml:space="preserve">US customary units (ft, SF, LF, CY, SQ = 100 SF, EA, LS); USD</t>
  </si>
  <si>
    <t xml:space="preserve">Pricing basis</t>
  </si>
  <si>
    <t xml:space="preserve">Estimator budget unit costs for the Monroe/Ouachita Parish market, Q4-2026. Material costs are pre-tax. These are NOT supplier or subcontractor quotes - replace with local quotes before contracting.</t>
  </si>
  <si>
    <t xml:space="preserve">Markups</t>
  </si>
  <si>
    <t xml:space="preserve">Sales tax, contingency, overhead and profit are INPUT cells on the Summary sheet (markup on cost). Defaults are placeholders - confirm.</t>
  </si>
  <si>
    <t xml:space="preserve">Status</t>
  </si>
  <si>
    <t xml:space="preserve">PRELIMINARY - quantities and costs require estimator review. Open RFIs listed on 'Assumptions &amp; RFIs'.</t>
  </si>
  <si>
    <t xml:space="preserve">Workflow</t>
  </si>
  <si>
    <t xml:space="preserve">Drawing Register -&gt; Takeoff Detail (dims &amp; formulas) -&gt; Cost Database (unit costs w/ source/date) -&gt; Estimate Detail (qty pulled by INDEX/MATCH from takeoff, unit costs from DB) -&gt; Summary (SUMIFS by division + markups) -&gt; Reconciliation (takeoff vs 3D model vs design notes).</t>
  </si>
  <si>
    <t xml:space="preserve">3D model</t>
  </si>
  <si>
    <t xml:space="preserve">output/model/SFH_3D_Model.html - every model element carries the takeoff ID used in this workbook.</t>
  </si>
  <si>
    <t xml:space="preserve">Regenerate</t>
  </si>
  <si>
    <t xml:space="preserve">python3 scripts/build_estimate.py then scripts/build_all.sh (recalculates with LibreOffice and rebuilds the model).</t>
  </si>
  <si>
    <t xml:space="preserve">COLOR KEY</t>
  </si>
  <si>
    <t xml:space="preserve">Blue text / blue fill</t>
  </si>
  <si>
    <t xml:space="preserve">Hard-coded input (dimension, count, unit price, markup %) - edit these</t>
  </si>
  <si>
    <t xml:space="preserve">Black text</t>
  </si>
  <si>
    <t xml:space="preserve">Formula / calculation - do not overwrite</t>
  </si>
  <si>
    <t xml:space="preserve">Green text</t>
  </si>
  <si>
    <t xml:space="preserve">Link pulled from another sheet</t>
  </si>
  <si>
    <t xml:space="preserve">Yellow row fill</t>
  </si>
  <si>
    <t xml:space="preserve">Basis = Assumed or Allowance (not measured from drawings)</t>
  </si>
  <si>
    <t xml:space="preserve">Orange row fill</t>
  </si>
  <si>
    <t xml:space="preserve">Confidence = Low - review before use</t>
  </si>
  <si>
    <t xml:space="preserve">SFH DEVELOPMENT - PRELIMINARY CONSTRUCTION ESTIMATE</t>
  </si>
  <si>
    <t xml:space="preserve">Ouachita Parish, LA  |  Progress drawings 5/31/2023 (Not for construction)  |  Price date 2026-10-15  |  Budget estimate - not a bid</t>
  </si>
  <si>
    <t xml:space="preserve">Conditioned area (gsf, design notes)</t>
  </si>
  <si>
    <t xml:space="preserve">Sales tax on materials</t>
  </si>
  <si>
    <t xml:space="preserve">ASSUMED - verify Ouachita rate for address</t>
  </si>
  <si>
    <t xml:space="preserve">Front porch (gsf)</t>
  </si>
  <si>
    <t xml:space="preserve">Contingency (on cost)</t>
  </si>
  <si>
    <t xml:space="preserve">placeholder</t>
  </si>
  <si>
    <t xml:space="preserve">Covered parking (gsf)</t>
  </si>
  <si>
    <t xml:space="preserve">Overhead (on cost)</t>
  </si>
  <si>
    <t xml:space="preserve">Total under roof (gsf)</t>
  </si>
  <si>
    <t xml:space="preserve">Profit (on cost)</t>
  </si>
  <si>
    <t xml:space="preserve">Div</t>
  </si>
  <si>
    <t xml:space="preserve">Division</t>
  </si>
  <si>
    <t xml:space="preserve">Material $</t>
  </si>
  <si>
    <t xml:space="preserve">Labor $</t>
  </si>
  <si>
    <t xml:space="preserve">Sub/Equip $</t>
  </si>
  <si>
    <t xml:space="preserve">Total $</t>
  </si>
  <si>
    <t xml:space="preserve">$ / Cond. SF</t>
  </si>
  <si>
    <t xml:space="preserve">% of Direct</t>
  </si>
  <si>
    <t xml:space="preserve">01</t>
  </si>
  <si>
    <t xml:space="preserve">General Requirements</t>
  </si>
  <si>
    <t xml:space="preserve">31</t>
  </si>
  <si>
    <t xml:space="preserve">Earthwork</t>
  </si>
  <si>
    <t xml:space="preserve">03</t>
  </si>
  <si>
    <t xml:space="preserve">Concrete</t>
  </si>
  <si>
    <t xml:space="preserve">06</t>
  </si>
  <si>
    <t xml:space="preserve">Wood &amp; Rough Carpentry</t>
  </si>
  <si>
    <t xml:space="preserve">07</t>
  </si>
  <si>
    <t xml:space="preserve">Thermal &amp; Moisture Protection</t>
  </si>
  <si>
    <t xml:space="preserve">08</t>
  </si>
  <si>
    <t xml:space="preserve">Openings</t>
  </si>
  <si>
    <t xml:space="preserve">09</t>
  </si>
  <si>
    <t xml:space="preserve">Finishes</t>
  </si>
  <si>
    <t xml:space="preserve">10</t>
  </si>
  <si>
    <t xml:space="preserve">Specialties</t>
  </si>
  <si>
    <t xml:space="preserve">11</t>
  </si>
  <si>
    <t xml:space="preserve">Equipment (Appliances)</t>
  </si>
  <si>
    <t xml:space="preserve">12</t>
  </si>
  <si>
    <t xml:space="preserve">Casework &amp; Countertops</t>
  </si>
  <si>
    <t xml:space="preserve">22</t>
  </si>
  <si>
    <t xml:space="preserve">Plumbing</t>
  </si>
  <si>
    <t xml:space="preserve">23</t>
  </si>
  <si>
    <t xml:space="preserve">HVAC</t>
  </si>
  <si>
    <t xml:space="preserve">26</t>
  </si>
  <si>
    <t xml:space="preserve">Electrical</t>
  </si>
  <si>
    <t xml:space="preserve">32</t>
  </si>
  <si>
    <t xml:space="preserve">Exterior Improvements</t>
  </si>
  <si>
    <t xml:space="preserve">33</t>
  </si>
  <si>
    <t xml:space="preserve">Utilities</t>
  </si>
  <si>
    <t xml:space="preserve">TOTAL DIRECT COST</t>
  </si>
  <si>
    <t xml:space="preserve">Subtotal with tax</t>
  </si>
  <si>
    <t xml:space="preserve">Contingency</t>
  </si>
  <si>
    <t xml:space="preserve">Overhead</t>
  </si>
  <si>
    <t xml:space="preserve">Profit</t>
  </si>
  <si>
    <t xml:space="preserve">GRAND TOTAL (budget)</t>
  </si>
  <si>
    <t xml:space="preserve">Grand total per SF under roof (1,973 gsf)</t>
  </si>
  <si>
    <t xml:space="preserve">Excluded: land, financing &amp; closing, sales commissions, appliances &amp; W/D (owner), window coverings, fencing, irrigation, septic, gas service, security/AV, solar, architect fees, builder's warranty reserve, escalation beyond price date, rock/unsuitable soil removal, flood elevation above 12" pad.</t>
  </si>
  <si>
    <t xml:space="preserve">Sheet</t>
  </si>
  <si>
    <t xml:space="preserve">Title</t>
  </si>
  <si>
    <t xml:space="preserve">Discipline</t>
  </si>
  <si>
    <t xml:space="preserve">Scale</t>
  </si>
  <si>
    <t xml:space="preserve">Revision / Date</t>
  </si>
  <si>
    <t xml:space="preserve">File / Page</t>
  </si>
  <si>
    <t xml:space="preserve">Used for</t>
  </si>
  <si>
    <t xml:space="preserve">Notes / Issues</t>
  </si>
  <si>
    <t xml:space="preserve">G000</t>
  </si>
  <si>
    <t xml:space="preserve">Cover sheet (rendering, project team)</t>
  </si>
  <si>
    <t xml:space="preserve">General</t>
  </si>
  <si>
    <t xml:space="preserve">NTS</t>
  </si>
  <si>
    <t xml:space="preserve">Progress 5/31/2023</t>
  </si>
  <si>
    <t xml:space="preserve">Not for construction</t>
  </si>
  <si>
    <t xml:space="preserve">2305031_Progress_Drawings.pdf p1</t>
  </si>
  <si>
    <t xml:space="preserve">Massing check (rendering)</t>
  </si>
  <si>
    <t xml:space="preserve">No sheet number printed on page; design notes call it G000. Project team blank (no structural/MEP engineers).</t>
  </si>
  <si>
    <t xml:space="preserve">A100</t>
  </si>
  <si>
    <t xml:space="preserve">Site plan</t>
  </si>
  <si>
    <t xml:space="preserve">Architectural</t>
  </si>
  <si>
    <t xml:space="preserve">1/16" = 1'-0"</t>
  </si>
  <si>
    <t xml:space="preserve">p2</t>
  </si>
  <si>
    <t xml:space="preserve">Lot 50' x 180', setbacks, driveway</t>
  </si>
  <si>
    <t xml:space="preserve">Design notes list 'A100 - Plans'; set has A100 = Site Plan, A101 = Plans (numbering conflict, RFI-16). Address 'Enter address here'.</t>
  </si>
  <si>
    <t xml:space="preserve">A101</t>
  </si>
  <si>
    <t xml:space="preserve">Plans: finish floor, finish floor RCP, T.O. plate (roof)</t>
  </si>
  <si>
    <t xml:space="preserve">1/8" = 1'-0"</t>
  </si>
  <si>
    <t xml:space="preserve">p3</t>
  </si>
  <si>
    <t xml:space="preserve">Primary takeoff: overall dims 21'-0" x 70'-0" + 24'-0" carport, room chain, partitions, RCP ceiling heights &amp; fixtures</t>
  </si>
  <si>
    <t xml:space="preserve">Calibrated: 21'-0" = 395 px @150 dpi (18.81 px/ft); vertical chain 70'-0" = 1,312 px (18.74 px/ft) - 0.4% check. Interior partitions not dimensioned (SCALED).</t>
  </si>
  <si>
    <t xml:space="preserve">A401</t>
  </si>
  <si>
    <t xml:space="preserve">Building elevations A-D</t>
  </si>
  <si>
    <t xml:space="preserve">1/4" = 1'-0"</t>
  </si>
  <si>
    <t xml:space="preserve">p4</t>
  </si>
  <si>
    <t xml:space="preserve">T.O. plate 9'-0", 6/12 pitch, cladding types, window/door tags, gutters</t>
  </si>
  <si>
    <t xml:space="preserve">Overhangs not dimensioned (ASSUMED 12").</t>
  </si>
  <si>
    <t xml:space="preserve">A701</t>
  </si>
  <si>
    <t xml:space="preserve">Schedules &amp; details (door/window schedules, types)</t>
  </si>
  <si>
    <t xml:space="preserve">p5</t>
  </si>
  <si>
    <t xml:space="preserve">Door &amp; window counts/sizes</t>
  </si>
  <si>
    <t xml:space="preserve">Door 01 R1 4'-0" x 8'-0" leaf/sidelite split not dimensioned.</t>
  </si>
  <si>
    <t xml:space="preserve">Notes</t>
  </si>
  <si>
    <t xml:space="preserve">Spec Home Schematic Design Notes</t>
  </si>
  <si>
    <t xml:space="preserve">Narrative spec</t>
  </si>
  <si>
    <t xml:space="preserve">—</t>
  </si>
  <si>
    <t xml:space="preserve">Undated</t>
  </si>
  <si>
    <t xml:space="preserve">Schematic</t>
  </si>
  <si>
    <t xml:space="preserve">Spec_Home_Schematic_Design_Notes.pdf (3 pp)</t>
  </si>
  <si>
    <t xml:space="preserve">Finishes, framing, sheathing, HVAC, areas</t>
  </si>
  <si>
    <t xml:space="preserve">Areas: porch 117, conditioned 1,352, covered parking 504, total 1,973 gsf.</t>
  </si>
  <si>
    <t xml:space="preserve">Structural drawings</t>
  </si>
  <si>
    <t xml:space="preserve">Structural</t>
  </si>
  <si>
    <t xml:space="preserve">MISSING</t>
  </si>
  <si>
    <t xml:space="preserve">Not issued</t>
  </si>
  <si>
    <t xml:space="preserve">Foundation, beams, trusses: ASSUMED. RFI-05.</t>
  </si>
  <si>
    <t xml:space="preserve">MEP drawings</t>
  </si>
  <si>
    <t xml:space="preserve">MEP</t>
  </si>
  <si>
    <t xml:space="preserve">HVAC, electrical, plumbing priced as design-build allowances.</t>
  </si>
  <si>
    <t xml:space="preserve">ID</t>
  </si>
  <si>
    <t xml:space="preserve">Category</t>
  </si>
  <si>
    <t xml:space="preserve">Question / Issue</t>
  </si>
  <si>
    <t xml:space="preserve">Assumption used in this estimate</t>
  </si>
  <si>
    <t xml:space="preserve">Qty / cost impact</t>
  </si>
  <si>
    <t xml:space="preserve">Responsible</t>
  </si>
  <si>
    <t xml:space="preserve">Resolution</t>
  </si>
  <si>
    <t xml:space="preserve">RFI-01</t>
  </si>
  <si>
    <t xml:space="preserve">Site</t>
  </si>
  <si>
    <t xml:space="preserve">Property address, survey, topography, flood zone, utility locations and street type (curb vs. open ditch) are not provided ('Enter address here').</t>
  </si>
  <si>
    <t xml:space="preserve">Typical in-town Ouachita Parish lot 50' x 180' per A100, lightly treed, public water &amp; sewer at the street, open-ditch possible.</t>
  </si>
  <si>
    <t xml:space="preserve">31-100 clearing, 32-130 culvert, 33-1xx utilities are allowances (~$13k combined).</t>
  </si>
  <si>
    <t xml:space="preserve">Open</t>
  </si>
  <si>
    <t xml:space="preserve">RFI-02</t>
  </si>
  <si>
    <t xml:space="preserve">Permits</t>
  </si>
  <si>
    <t xml:space="preserve">Permitting jurisdiction (City of Monroe, City of West Monroe, or unincorporated Ouachita Parish) and fee schedule.</t>
  </si>
  <si>
    <t xml:space="preserve">Permit &amp; plan review allowance $2,600 plus trade permits.</t>
  </si>
  <si>
    <t xml:space="preserve">01-100, 22-195, 23-160, 26-350</t>
  </si>
  <si>
    <t xml:space="preserve">Owner/GC</t>
  </si>
  <si>
    <t xml:space="preserve">RFI-03</t>
  </si>
  <si>
    <t xml:space="preserve">Energy code</t>
  </si>
  <si>
    <t xml:space="preserve">Insulation R-values, fenestration U-factor/SHGC and testing requirements are not specified.</t>
  </si>
  <si>
    <t xml:space="preserve">R-21 walls, R-38 ceiling, standard Low-E vinyl windows, blower-door/duct test allowance.</t>
  </si>
  <si>
    <t xml:space="preserve">07-100/110, 01-210</t>
  </si>
  <si>
    <t xml:space="preserve">Architect</t>
  </si>
  <si>
    <t xml:space="preserve">Assumed</t>
  </si>
  <si>
    <t xml:space="preserve">RFI-04</t>
  </si>
  <si>
    <t xml:space="preserve">Geotechnical</t>
  </si>
  <si>
    <t xml:space="preserve">No soils report. NE Louisiana clays are often expansive; slab design and pad height depend on PI and flood elevation.</t>
  </si>
  <si>
    <t xml:space="preserve">12" average select-fill pad, 5' beyond slab, conventional reinforced monolithic slab. Geotech allowance carried.</t>
  </si>
  <si>
    <t xml:space="preserve">31-120 (149 CY loose), 03-1xx, 01-106. A post-tensioned or stiffened slab could change foundation cost +/- $4-8k.</t>
  </si>
  <si>
    <t xml:space="preserve">Owner/Engineer</t>
  </si>
  <si>
    <t xml:space="preserve">RFI-05</t>
  </si>
  <si>
    <t xml:space="preserve">No structural drawings (project team lists none). Foundation, beam, header and connector design are by others.</t>
  </si>
  <si>
    <t xml:space="preserve">4" slab, 12"x24" perimeter beam (4 #5), 12"x20" interior beams on ~20' grid, #3 @ 18" EW, (2) 2x10 headers.</t>
  </si>
  <si>
    <t xml:space="preserve">03-100..150, 06-130</t>
  </si>
  <si>
    <t xml:space="preserve">Engineer</t>
  </si>
  <si>
    <t xml:space="preserve">RFI-06</t>
  </si>
  <si>
    <t xml:space="preserve">Roof framing</t>
  </si>
  <si>
    <t xml:space="preserve">Design notes call for 'cambered roof truss 4' O.C.' with ZIP roof sheathing. ZIP roof panels are typically span-rated for 24" supports, and 5/8" gypsum ceilings need supports at 24" max.</t>
  </si>
  <si>
    <t xml:space="preserve">Trusses at 48" O.C. as noted PLUS 2x4 roof purlins @ 24" and 2x4 ceiling furring @ 24". Alternative: trusses @ 24" O.C. (~+21 trusses, -purlins/furring).</t>
  </si>
  <si>
    <t xml:space="preserve">06-190..220. Purlins + furring ~ $2.0k material + labor in framing rate.</t>
  </si>
  <si>
    <t xml:space="preserve">Architect/Truss mfr.</t>
  </si>
  <si>
    <t xml:space="preserve">RFI-07</t>
  </si>
  <si>
    <t xml:space="preserve">Covered parking has posts only at the two rear corners (A101/A401): 24' clear-span eave beams required. Open porch front also needs a ~21' beam.</t>
  </si>
  <si>
    <t xml:space="preserve">3-1/2" x 14" LVL (2-ply) both carport eaves and porch front; 6x6 PT posts on 24" footings.</t>
  </si>
  <si>
    <t xml:space="preserve">06-250 (72 LF), 06-260, 03-220</t>
  </si>
  <si>
    <t xml:space="preserve">RFI-08</t>
  </si>
  <si>
    <t xml:space="preserve">Roof geometry</t>
  </si>
  <si>
    <t xml:space="preserve">Eave and rake overhangs are not dimensioned. A401 scales to roughly 8-12".</t>
  </si>
  <si>
    <t xml:space="preserve">12" eave and 12" rake overhang on all sides; boxed, vented FC soffit.</t>
  </si>
  <si>
    <t xml:space="preserve">Roof area, fascia, soffit, gutters (each +/-3%).</t>
  </si>
  <si>
    <t xml:space="preserve">RFI-09</t>
  </si>
  <si>
    <t xml:space="preserve">Cladding</t>
  </si>
  <si>
    <t xml:space="preserve">Design notes conflict: 'lap siding front porch' vs 'Fiber Cement Tongue &amp; Groove Siding (continued to ceiling)'. A401 Elev B says 'Fiber cement T&amp;G siding'.</t>
  </si>
  <si>
    <t xml:space="preserve">Fiber cement T&amp;G (per A401) at porch walls, front gable and porch ceiling.</t>
  </si>
  <si>
    <t xml:space="preserve">07-160/170 (~$3.0k).</t>
  </si>
  <si>
    <t xml:space="preserve">RFI-10</t>
  </si>
  <si>
    <t xml:space="preserve">Code/egress</t>
  </si>
  <si>
    <t xml:space="preserve">Bedroom egress: Type B 6'-0" x 4'-0" casement at 3'-0" sill. Confirm clear opening/sill height meet egress.</t>
  </si>
  <si>
    <t xml:space="preserve">Type B casement as scheduled (twin casement).</t>
  </si>
  <si>
    <t xml:space="preserve">None if compliant.</t>
  </si>
  <si>
    <t xml:space="preserve">RFI-11</t>
  </si>
  <si>
    <t xml:space="preserve">Code/glazing</t>
  </si>
  <si>
    <t xml:space="preserve">Type D windows adjacent to door 01 and the door 01 sidelite may require safety glazing.</t>
  </si>
  <si>
    <t xml:space="preserve">Door 01 sidelite tempered (in door price); D windows standard glass.</t>
  </si>
  <si>
    <t xml:space="preserve">Tempered D windows ~+$150 ea.</t>
  </si>
  <si>
    <t xml:space="preserve">RFI-12</t>
  </si>
  <si>
    <t xml:space="preserve">Doors</t>
  </si>
  <si>
    <t xml:space="preserve">Door 01 (R1) is scheduled 4'-0" x 8'-0" but leaf vs. sidelite split is not dimensioned (A701 shows 4'-0" and 2'-0" marks). Door material not specified (frame wood).</t>
  </si>
  <si>
    <t xml:space="preserve">3'-0" x 8'-0" leaf + 1'-0" sidelite, prehung, fiberglass or wood.</t>
  </si>
  <si>
    <t xml:space="preserve">08-200</t>
  </si>
  <si>
    <t xml:space="preserve">RFI-13</t>
  </si>
  <si>
    <t xml:space="preserve">Casework</t>
  </si>
  <si>
    <t xml:space="preserve">Kitchen layout scaled from plan: tall element at west end of back run (pantry vs. refrigerator) and dishwasher location are not labeled. No laundry cabinets shown.</t>
  </si>
  <si>
    <t xml:space="preserve">Tall pantry west end, refrigerator east end, DW in island next to sink, no laundry cabinets.</t>
  </si>
  <si>
    <t xml:space="preserve">12-100..130</t>
  </si>
  <si>
    <t xml:space="preserve">Architect/Owner</t>
  </si>
  <si>
    <t xml:space="preserve">RFI-14</t>
  </si>
  <si>
    <t xml:space="preserve">Air handler location, heat source (heat pump vs. gas) and duct route not shown. No gas service indicated.</t>
  </si>
  <si>
    <t xml:space="preserve">All-electric: 2-ton heat pump, horizontal air handler in attic over hall, duct trunk in attic.</t>
  </si>
  <si>
    <t xml:space="preserve">23-1xx</t>
  </si>
  <si>
    <t xml:space="preserve">Owner/HVAC</t>
  </si>
  <si>
    <t xml:space="preserve">RFI-15</t>
  </si>
  <si>
    <t xml:space="preserve">No electrical plan: device counts, service size, panel location.</t>
  </si>
  <si>
    <t xml:space="preserve">200A service, panel in storage, code-minimum device layout (~64 devices); lights per RCP; 6 soffit downlights.</t>
  </si>
  <si>
    <t xml:space="preserve">26-1xx</t>
  </si>
  <si>
    <t xml:space="preserve">Owner/Electrician</t>
  </si>
  <si>
    <t xml:space="preserve">RFI-16</t>
  </si>
  <si>
    <t xml:space="preserve">Documents</t>
  </si>
  <si>
    <t xml:space="preserve">Design notes list sheets G000, A100 'Plans', A401, A701; the drawing set contains A100 'Site Plan' and A101 'Plans'. Drawings are a progress set marked NOT FOR CONSTRUCTION (5/31/2023).</t>
  </si>
  <si>
    <t xml:space="preserve">Used the 5/31/2023 set as latest; A101 governs plan dimensions.</t>
  </si>
  <si>
    <t xml:space="preserve">Re-check quantities when CDs are issued.</t>
  </si>
  <si>
    <t xml:space="preserve">RFI-17</t>
  </si>
  <si>
    <t xml:space="preserve">Interior base, casing and window trim are not specified.</t>
  </si>
  <si>
    <t xml:space="preserve">3-1/4" MDF base, 2-1/4" MDF casing, drywall-return windows with MDF stool &amp; apron, all painted.</t>
  </si>
  <si>
    <t xml:space="preserve">09-200..220</t>
  </si>
  <si>
    <t xml:space="preserve">RFI-18</t>
  </si>
  <si>
    <t xml:space="preserve">Finished concrete floors: smooth trowel finish - confirm level (polish grit / sealer / stain) and slab protection responsibility. Interior control joints will be visible.</t>
  </si>
  <si>
    <t xml:space="preserve">Hard-trowel + light grind, densifier, penetrating sealer; Ram Board protection through construction.</t>
  </si>
  <si>
    <t xml:space="preserve">03-180, 01-180</t>
  </si>
  <si>
    <t xml:space="preserve">RFI-19</t>
  </si>
  <si>
    <t xml:space="preserve">Areas</t>
  </si>
  <si>
    <t xml:space="preserve">Design-notes conditioned area 1,352 gsf vs. dimensioned 21'-0" x 64'-2" = 1,347.5 SF; porch 117 gsf (inside walls) vs. 124.3 SF slab.</t>
  </si>
  <si>
    <t xml:space="preserve">Quantities use dimensioned values; $/SF metrics use design-notes gsf.</t>
  </si>
  <si>
    <t xml:space="preserve">&lt;0.5% / 6% - see Reconciliation.</t>
  </si>
  <si>
    <t xml:space="preserve">Estimator</t>
  </si>
  <si>
    <t xml:space="preserve">RFI-20</t>
  </si>
  <si>
    <t xml:space="preserve">Water heater size/fuel not specified; WH symbol in storage. Kitchen sink is in the island (venting method, e.g. AAV/loop vent, to be confirmed).</t>
  </si>
  <si>
    <t xml:space="preserve">50 gal electric tank WH; island sink vented per plumber (included in rough).</t>
  </si>
  <si>
    <t xml:space="preserve">22-100, 22-150</t>
  </si>
  <si>
    <t xml:space="preserve">Plumber</t>
  </si>
  <si>
    <t xml:space="preserve">RFI-21</t>
  </si>
  <si>
    <t xml:space="preserve">Exterior</t>
  </si>
  <si>
    <t xml:space="preserve">Porch hatched element at east end of porch (A101) is not labeled.</t>
  </si>
  <si>
    <t xml:space="preserve">Not priced (assumed furniture/bench by owner).</t>
  </si>
  <si>
    <t xml:space="preserve">Possible built-in storage closet ~$1.5k if required.</t>
  </si>
  <si>
    <t xml:space="preserve">RFI-22</t>
  </si>
  <si>
    <t xml:space="preserve">Exterior paint</t>
  </si>
  <si>
    <t xml:space="preserve">Fiber cement finish: factory-primed vs. pre-finished (e.g., ColorPlus) not specified.</t>
  </si>
  <si>
    <t xml:space="preserve">Primed product, field painted (09-260/265).</t>
  </si>
  <si>
    <t xml:space="preserve">Pre-finished could save ~$3-4k paint, add ~$1.5k material.</t>
  </si>
  <si>
    <t xml:space="preserve">A-01</t>
  </si>
  <si>
    <t xml:space="preserve">Wall heights</t>
  </si>
  <si>
    <t xml:space="preserve">All walls framed to 9'-0" T.O. plate (A401). Rooms with 8'-0" ceilings get dropped ceiling joists.</t>
  </si>
  <si>
    <t xml:space="preserve">104-5/8" precut studs, 9' drywall walls everywhere (slight over-measure in 8' rooms).</t>
  </si>
  <si>
    <t xml:space="preserve">A-02</t>
  </si>
  <si>
    <t xml:space="preserve">Opening deductions: siding and drywall deduct actual window/door areas; sheathing does not (cut waste). Waste factors applied separately per line.</t>
  </si>
  <si>
    <t xml:space="preserve">A-03</t>
  </si>
  <si>
    <t xml:space="preserve">Pricing</t>
  </si>
  <si>
    <t xml:space="preserve">Unit costs are estimator budget values for the Monroe/Ouachita market at 2026-10-15, pre-tax materials, open-shop labor. Not quotes.</t>
  </si>
  <si>
    <t xml:space="preserve">Sales tax 10% on materials placeholder; contingency 5%, overhead 8%, profit 10% (on cost) placeholders.</t>
  </si>
  <si>
    <t xml:space="preserve">Summary inputs.</t>
  </si>
  <si>
    <t xml:space="preserve">A-04</t>
  </si>
  <si>
    <t xml:space="preserve">Schedule</t>
  </si>
  <si>
    <t xml:space="preserve">Construction duration ~5 months (20 weeks) for general conditions.</t>
  </si>
  <si>
    <t xml:space="preserve">01-130/140/160</t>
  </si>
  <si>
    <t xml:space="preserve">GC</t>
  </si>
  <si>
    <t xml:space="preserve">A-05</t>
  </si>
  <si>
    <t xml:space="preserve">Owner items</t>
  </si>
  <si>
    <t xml:space="preserve">Appliances (range, refrigerator, OTR microwave, dishwasher) and washer/dryer supplied by owner per design notes; contractor installs/hooks up.</t>
  </si>
  <si>
    <t xml:space="preserve">11-100 = $0; 11-110 hookup allowance.</t>
  </si>
  <si>
    <t xml:space="preserve">Cost Code</t>
  </si>
  <si>
    <t xml:space="preserve">Description</t>
  </si>
  <si>
    <t xml:space="preserve">Spec / Reference</t>
  </si>
  <si>
    <t xml:space="preserve">Takeoff Type</t>
  </si>
  <si>
    <t xml:space="preserve">Count</t>
  </si>
  <si>
    <t xml:space="preserve">Length (ft)</t>
  </si>
  <si>
    <t xml:space="preserve">Width / Ht (ft)</t>
  </si>
  <si>
    <t xml:space="preserve">Depth (ft)</t>
  </si>
  <si>
    <t xml:space="preserve">Factor</t>
  </si>
  <si>
    <t xml:space="preserve">Deduct</t>
  </si>
  <si>
    <t xml:space="preserve">Net Qty</t>
  </si>
  <si>
    <t xml:space="preserve">Unit</t>
  </si>
  <si>
    <t xml:space="preserve">Waste %</t>
  </si>
  <si>
    <t xml:space="preserve">Gross Qty</t>
  </si>
  <si>
    <t xml:space="preserve">Round Up?</t>
  </si>
  <si>
    <t xml:space="preserve">Calculation / Method</t>
  </si>
  <si>
    <t xml:space="preserve">Basis</t>
  </si>
  <si>
    <t xml:space="preserve">Confidence</t>
  </si>
  <si>
    <t xml:space="preserve">Notes / Assumptions</t>
  </si>
  <si>
    <t xml:space="preserve">01-100</t>
  </si>
  <si>
    <t xml:space="preserve">Building permit &amp; plan review</t>
  </si>
  <si>
    <t xml:space="preserve">Ouachita Parish / municipal residential permit</t>
  </si>
  <si>
    <t xml:space="preserve">Allowance</t>
  </si>
  <si>
    <t xml:space="preserve">LS</t>
  </si>
  <si>
    <t xml:space="preserve">N</t>
  </si>
  <si>
    <t xml:space="preserve">Medium</t>
  </si>
  <si>
    <t xml:space="preserve">Jurisdiction depends on final address (City of Monroe, West Monroe or unincorporated Ouachita). RFI-02.</t>
  </si>
  <si>
    <t xml:space="preserve">01-105</t>
  </si>
  <si>
    <t xml:space="preserve">Engineering: foundation design, carport/porch beams, truss review</t>
  </si>
  <si>
    <t xml:space="preserve">Licensed LA engineer letter/stamp</t>
  </si>
  <si>
    <t xml:space="preserve">No structural drawings in set. RFI-05/06/07.</t>
  </si>
  <si>
    <t xml:space="preserve">01-106</t>
  </si>
  <si>
    <t xml:space="preserve">Geotechnical investigation (borings, PI, slab recommendations)</t>
  </si>
  <si>
    <t xml:space="preserve">Recommended for NE LA expansive clays</t>
  </si>
  <si>
    <t xml:space="preserve">01-110</t>
  </si>
  <si>
    <t xml:space="preserve">Survey: boundary, staking, form-board, final as-built</t>
  </si>
  <si>
    <t xml:space="preserve">01-120</t>
  </si>
  <si>
    <t xml:space="preserve">Temporary power pole, connection &amp; usage</t>
  </si>
  <si>
    <t xml:space="preserve">01-125</t>
  </si>
  <si>
    <t xml:space="preserve">Temporary water &amp; usage</t>
  </si>
  <si>
    <t xml:space="preserve">01-130</t>
  </si>
  <si>
    <t xml:space="preserve">Portable toilet</t>
  </si>
  <si>
    <t xml:space="preserve">MO</t>
  </si>
  <si>
    <t xml:space="preserve">5 month schedule</t>
  </si>
  <si>
    <t xml:space="preserve">Schedule ASSUMED 5 months.</t>
  </si>
  <si>
    <t xml:space="preserve">01-140</t>
  </si>
  <si>
    <t xml:space="preserve">Dumpster, 20 CY, haul &amp; dump</t>
  </si>
  <si>
    <t xml:space="preserve">EA</t>
  </si>
  <si>
    <t xml:space="preserve">~1 pull per month</t>
  </si>
  <si>
    <t xml:space="preserve">01-150</t>
  </si>
  <si>
    <t xml:space="preserve">Builder's risk insurance</t>
  </si>
  <si>
    <t xml:space="preserve">01-160</t>
  </si>
  <si>
    <t xml:space="preserve">Site supervision (part-time superintendent)</t>
  </si>
  <si>
    <t xml:space="preserve">WK</t>
  </si>
  <si>
    <t xml:space="preserve">20 weeks x part-time super</t>
  </si>
  <si>
    <t xml:space="preserve">01-170</t>
  </si>
  <si>
    <t xml:space="preserve">Final construction clean incl. windows</t>
  </si>
  <si>
    <t xml:space="preserve">All areas</t>
  </si>
  <si>
    <t xml:space="preserve">Area</t>
  </si>
  <si>
    <t xml:space="preserve">SF</t>
  </si>
  <si>
    <t xml:space="preserve">21' x 94.08' under roof</t>
  </si>
  <si>
    <t xml:space="preserve">Calculated</t>
  </si>
  <si>
    <t xml:space="preserve">High</t>
  </si>
  <si>
    <t xml:space="preserve">01-175</t>
  </si>
  <si>
    <t xml:space="preserve">Periodic jobsite cleanup</t>
  </si>
  <si>
    <t xml:space="preserve">01-180</t>
  </si>
  <si>
    <t xml:space="preserve">Finished-slab protection (Ram Board/taped) - smooth trowel floors</t>
  </si>
  <si>
    <t xml:space="preserve">Design notes: concrete floors are the finish</t>
  </si>
  <si>
    <t xml:space="preserve">Conditioned</t>
  </si>
  <si>
    <t xml:space="preserve">21' x 64.17'</t>
  </si>
  <si>
    <t xml:space="preserve">Required because finished floor is exposed concrete.</t>
  </si>
  <si>
    <t xml:space="preserve">01-190</t>
  </si>
  <si>
    <t xml:space="preserve">Termite pre-treatment &amp; LDAF certificate</t>
  </si>
  <si>
    <t xml:space="preserve">Louisiana pre-construction termite treatment</t>
  </si>
  <si>
    <t xml:space="preserve">Slab</t>
  </si>
  <si>
    <t xml:space="preserve">01-200</t>
  </si>
  <si>
    <t xml:space="preserve">Small tools &amp; consumables</t>
  </si>
  <si>
    <t xml:space="preserve">01-210</t>
  </si>
  <si>
    <t xml:space="preserve">Energy code testing (blower door / duct leakage)</t>
  </si>
  <si>
    <t xml:space="preserve">Verify requirement with AHJ (RFI-03).</t>
  </si>
  <si>
    <t xml:space="preserve">31-100</t>
  </si>
  <si>
    <t xml:space="preserve">Clear &amp; grub, strip topsoil (building &amp; drive area)</t>
  </si>
  <si>
    <t xml:space="preserve">Low</t>
  </si>
  <si>
    <t xml:space="preserve">Lot condition unknown (address TBD). RFI-01.</t>
  </si>
  <si>
    <t xml:space="preserve">31-120</t>
  </si>
  <si>
    <t xml:space="preserve">Select fill building pad, 12" avg, compacted (loose CY incl. 25% shrink)</t>
  </si>
  <si>
    <t xml:space="preserve">Slab footprint + 5' each side</t>
  </si>
  <si>
    <t xml:space="preserve">Building pad</t>
  </si>
  <si>
    <t xml:space="preserve">Volume</t>
  </si>
  <si>
    <t xml:space="preserve">CY</t>
  </si>
  <si>
    <t xml:space="preserve">Y</t>
  </si>
  <si>
    <t xml:space="preserve">(21+10) x (94.08+10) x 1.0' / 27</t>
  </si>
  <si>
    <t xml:space="preserve">Pad height ASSUMED 12" avg; set by survey/geotech &amp; flood zone. RFI-04.</t>
  </si>
  <si>
    <t xml:space="preserve">31-130</t>
  </si>
  <si>
    <t xml:space="preserve">Fine grade building pad</t>
  </si>
  <si>
    <t xml:space="preserve">31' x 104.08'</t>
  </si>
  <si>
    <t xml:space="preserve">31-140</t>
  </si>
  <si>
    <t xml:space="preserve">Final grading &amp; topsoil spread</t>
  </si>
  <si>
    <t xml:space="preserve">Lot</t>
  </si>
  <si>
    <t xml:space="preserve">31-150</t>
  </si>
  <si>
    <t xml:space="preserve">Silt fence / erosion control</t>
  </si>
  <si>
    <t xml:space="preserve">Lot perimeter (front &amp; sides)</t>
  </si>
  <si>
    <t xml:space="preserve">Length</t>
  </si>
  <si>
    <t xml:space="preserve">LF</t>
  </si>
  <si>
    <t xml:space="preserve">front 50' + 2 sides x 90'</t>
  </si>
  <si>
    <t xml:space="preserve">03-100</t>
  </si>
  <si>
    <t xml:space="preserve">Slab-on-grade 4" (house, porch, carport) - concrete</t>
  </si>
  <si>
    <t xml:space="preserve">3000 psi ready-mix</t>
  </si>
  <si>
    <t xml:space="preserve">Footprint 21' x 94.08'</t>
  </si>
  <si>
    <t xml:space="preserve">21' x (70.08'+24') x 0.333' / 27</t>
  </si>
  <si>
    <t xml:space="preserve">Slab thickness ASSUMED 4" (no structural). Footprint DIM.</t>
  </si>
  <si>
    <t xml:space="preserve">03-110</t>
  </si>
  <si>
    <t xml:space="preserve">Perimeter grade beam 12" w x 20" below slab - concrete</t>
  </si>
  <si>
    <t xml:space="preserve">Monolithic</t>
  </si>
  <si>
    <t xml:space="preserve">Perimeter</t>
  </si>
  <si>
    <t xml:space="preserve">2 x (21 + 94.08) LF x 1.0' x 1.667' / 27</t>
  </si>
  <si>
    <t xml:space="preserve">Beam size ASSUMED typical NE LA; engineer to confirm.</t>
  </si>
  <si>
    <t xml:space="preserve">03-120</t>
  </si>
  <si>
    <t xml:space="preserve">Interior grade beams 12" w x 16" below slab - concrete</t>
  </si>
  <si>
    <t xml:space="preserve">5 transverse + 1 longitudinal</t>
  </si>
  <si>
    <t xml:space="preserve">(5 x 19' + 92.08') x 1.0' x 1.333' / 27</t>
  </si>
  <si>
    <t xml:space="preserve">Layout ASSUMED ~20' grid.</t>
  </si>
  <si>
    <t xml:space="preserve">03-130</t>
  </si>
  <si>
    <t xml:space="preserve">Vapor retarder 10 mil poly, lapped &amp; taped</t>
  </si>
  <si>
    <t xml:space="preserve">Under slab</t>
  </si>
  <si>
    <t xml:space="preserve">21' x 94.08' (+15% laps/beam sides)</t>
  </si>
  <si>
    <t xml:space="preserve">03-140</t>
  </si>
  <si>
    <t xml:space="preserve">Rebar #5 continuous in grade beams (4 bars)</t>
  </si>
  <si>
    <t xml:space="preserve">Grade 60</t>
  </si>
  <si>
    <t xml:space="preserve">All beams</t>
  </si>
  <si>
    <t xml:space="preserve">4 bars x (230.17 + 187.08) LF</t>
  </si>
  <si>
    <t xml:space="preserve">03-150</t>
  </si>
  <si>
    <t xml:space="preserve">Rebar #3 @ 18" O.C. each way in slab</t>
  </si>
  <si>
    <t xml:space="preserve">1975.7 SF x (2 / 1.5 ft) LF/SF</t>
  </si>
  <si>
    <t xml:space="preserve">03-160</t>
  </si>
  <si>
    <t xml:space="preserve">Forms, chairs, stakes, ties, edge/expansion material</t>
  </si>
  <si>
    <t xml:space="preserve">slab area</t>
  </si>
  <si>
    <t xml:space="preserve">03-170</t>
  </si>
  <si>
    <t xml:space="preserve">Foundation labor: form, set steel, place &amp; finish (sub)</t>
  </si>
  <si>
    <t xml:space="preserve">03-175</t>
  </si>
  <si>
    <t xml:space="preserve">Concrete pump truck</t>
  </si>
  <si>
    <t xml:space="preserve">Slab pour</t>
  </si>
  <si>
    <t xml:space="preserve">03-180</t>
  </si>
  <si>
    <t xml:space="preserve">Finished concrete floors: smooth trowel premium, grind, densifier &amp; sealer</t>
  </si>
  <si>
    <t xml:space="preserve">Design notes: Concrete, smooth trowel (all rooms)</t>
  </si>
  <si>
    <t xml:space="preserve">Notes / A101</t>
  </si>
  <si>
    <t xml:space="preserve">03-185</t>
  </si>
  <si>
    <t xml:space="preserve">Porch slab: smooth trowel, slope away, sealer</t>
  </si>
  <si>
    <t xml:space="preserve">Design notes</t>
  </si>
  <si>
    <t xml:space="preserve">Front porch</t>
  </si>
  <si>
    <t xml:space="preserve">21' x 5.92'</t>
  </si>
  <si>
    <t xml:space="preserve">03-190</t>
  </si>
  <si>
    <t xml:space="preserve">Anchor bolts / sill anchors at exterior walls</t>
  </si>
  <si>
    <t xml:space="preserve">Exterior walls</t>
  </si>
  <si>
    <t xml:space="preserve">182.2 LF / 6' O.C. + 2 per plate piece (~8 pcs)</t>
  </si>
  <si>
    <t xml:space="preserve">03-200</t>
  </si>
  <si>
    <t xml:space="preserve">Saw-cut control joints</t>
  </si>
  <si>
    <t xml:space="preserve">~5 joints x 21' + porch</t>
  </si>
  <si>
    <t xml:space="preserve">03-220</t>
  </si>
  <si>
    <t xml:space="preserve">Carport post footings 24"x24"x24" w/ post base</t>
  </si>
  <si>
    <t xml:space="preserve">Carport corners</t>
  </si>
  <si>
    <t xml:space="preserve">2 posts shown</t>
  </si>
  <si>
    <t xml:space="preserve">Measured</t>
  </si>
  <si>
    <t xml:space="preserve">Footing size ASSUMED.</t>
  </si>
  <si>
    <t xml:space="preserve">06-100</t>
  </si>
  <si>
    <t xml:space="preserve">PT 2x6 bottom/sill plate - exterior walls</t>
  </si>
  <si>
    <t xml:space="preserve">2 x 70.08 + 2 x 21</t>
  </si>
  <si>
    <t xml:space="preserve">06-110</t>
  </si>
  <si>
    <t xml:space="preserve">2x6 double top plate - exterior walls</t>
  </si>
  <si>
    <t xml:space="preserve">2 plates x 182.17 LF</t>
  </si>
  <si>
    <t xml:space="preserve">06-120</t>
  </si>
  <si>
    <t xml:space="preserve">2x6 x 104-5/8" studs @ 24" O.C. - exterior walls</t>
  </si>
  <si>
    <t xml:space="preserve">Design notes: 2x6 ext walls @ 24" O.C.</t>
  </si>
  <si>
    <t xml:space="preserve">LF/2 + corners 4x3 + partition T's 10x2 + 14 openings x4 (king+jack) + ~28 cripples</t>
  </si>
  <si>
    <t xml:space="preserve">06-130</t>
  </si>
  <si>
    <t xml:space="preserve">2x10 header stock, 2-ply - exterior openings</t>
  </si>
  <si>
    <t xml:space="preserve">Exterior openings</t>
  </si>
  <si>
    <t xml:space="preserve">2 ply x Σ(opening width + 6"); D windows ganged on one 9.5' header</t>
  </si>
  <si>
    <t xml:space="preserve">Header sizes ASSUMED (no structural).</t>
  </si>
  <si>
    <t xml:space="preserve">06-140</t>
  </si>
  <si>
    <t xml:space="preserve">PT 2x4 bottom plate - interior partitions</t>
  </si>
  <si>
    <t xml:space="preserve">Partitions</t>
  </si>
  <si>
    <t xml:space="preserve">Σ partitions P1-P10 (SCALED/DIM)</t>
  </si>
  <si>
    <t xml:space="preserve">06-150</t>
  </si>
  <si>
    <t xml:space="preserve">2x4 double top plate - interior partitions</t>
  </si>
  <si>
    <t xml:space="preserve">2 x partition LF</t>
  </si>
  <si>
    <t xml:space="preserve">06-160</t>
  </si>
  <si>
    <t xml:space="preserve">2x4 x 104-5/8" studs @ 24" O.C. - partitions</t>
  </si>
  <si>
    <t xml:space="preserve">Design notes: 2x4 int walls @ 24" O.C.</t>
  </si>
  <si>
    <t xml:space="preserve">LF/2 + wall ends 10x2 + intersections 12x2 + 7 doors x4</t>
  </si>
  <si>
    <t xml:space="preserve">06-170</t>
  </si>
  <si>
    <t xml:space="preserve">Interior door headers / misc 2x6</t>
  </si>
  <si>
    <t xml:space="preserve">Interior doors</t>
  </si>
  <si>
    <t xml:space="preserve">7 doors + misc</t>
  </si>
  <si>
    <t xml:space="preserve">06-180</t>
  </si>
  <si>
    <t xml:space="preserve">Blocking &amp; backing (cabinets, tubs, accessories, TV, grab-bar ready)</t>
  </si>
  <si>
    <t xml:space="preserve">Interior</t>
  </si>
  <si>
    <t xml:space="preserve">06-190</t>
  </si>
  <si>
    <t xml:space="preserve">Roof trusses - common 6/12, 21' span, flat bottom chord @ 4' O.C.</t>
  </si>
  <si>
    <t xml:space="preserve">Design notes: cambered roof truss 4' O.C.</t>
  </si>
  <si>
    <t xml:space="preserve">Notes / A401</t>
  </si>
  <si>
    <t xml:space="preserve">Over conditioned area</t>
  </si>
  <si>
    <t xml:space="preserve">64.17'/4 + 1 = 17</t>
  </si>
  <si>
    <t xml:space="preserve">Truss profile/camber by manufacturer. RFI-06.</t>
  </si>
  <si>
    <t xml:space="preserve">06-191</t>
  </si>
  <si>
    <t xml:space="preserve">Roof trusses - vaulted (parallel-chord) 6/12 for sloped carport/porch ceilings</t>
  </si>
  <si>
    <t xml:space="preserve">A101 RCP: sloped ceilings 6"/1'-0"</t>
  </si>
  <si>
    <t xml:space="preserve">A101 RCP</t>
  </si>
  <si>
    <t xml:space="preserve">Carport &amp; porch</t>
  </si>
  <si>
    <t xml:space="preserve">carport 5 + porch 1</t>
  </si>
  <si>
    <t xml:space="preserve">06-192</t>
  </si>
  <si>
    <t xml:space="preserve">End trusses at open gables (vaulted, w/ rake outlookers)</t>
  </si>
  <si>
    <t xml:space="preserve">Carport &amp; porch ends</t>
  </si>
  <si>
    <t xml:space="preserve">2 ends</t>
  </si>
  <si>
    <t xml:space="preserve">06-200</t>
  </si>
  <si>
    <t xml:space="preserve">2x4 roof purlins @ 24" O.C. (flat) over 48" trusses</t>
  </si>
  <si>
    <t xml:space="preserve">Needed to span 5/8" ZIP roof at 48" O.C.</t>
  </si>
  <si>
    <t xml:space="preserve">Roof</t>
  </si>
  <si>
    <t xml:space="preserve">2 slopes x 7 lines (12.86' slope / 2') x 96.08'</t>
  </si>
  <si>
    <t xml:space="preserve">RFI-06: confirm 48" truss spacing vs sheathing span rating.</t>
  </si>
  <si>
    <t xml:space="preserve">06-210</t>
  </si>
  <si>
    <t xml:space="preserve">2x4 ceiling furring @ 24" O.C. under trusses (conditioned)</t>
  </si>
  <si>
    <t xml:space="preserve">5/8" GWB cannot span 48"</t>
  </si>
  <si>
    <t xml:space="preserve">Conditioned ceiling</t>
  </si>
  <si>
    <t xml:space="preserve">10 lines x 63.08'</t>
  </si>
  <si>
    <t xml:space="preserve">06-215</t>
  </si>
  <si>
    <t xml:space="preserve">2x4 ceiling joists &amp; ledgers for 8' ceilings</t>
  </si>
  <si>
    <t xml:space="preserve">A101 RCP: 8'-0" ceilings</t>
  </si>
  <si>
    <t xml:space="preserve">Storage, closets, baths</t>
  </si>
  <si>
    <t xml:space="preserve">220 SF of 8' ceilings / 2' O.C. x 1.4 (ledgers)</t>
  </si>
  <si>
    <t xml:space="preserve">06-220</t>
  </si>
  <si>
    <t xml:space="preserve">2x4 nailers for sloped carport &amp; porch ceilings</t>
  </si>
  <si>
    <t xml:space="preserve">13 lines x 29.92'</t>
  </si>
  <si>
    <t xml:space="preserve">06-230</t>
  </si>
  <si>
    <t xml:space="preserve">Truss permanent lateral &amp; diagonal bracing</t>
  </si>
  <si>
    <t xml:space="preserve">06-240</t>
  </si>
  <si>
    <t xml:space="preserve">2x6 sub-fascia</t>
  </si>
  <si>
    <t xml:space="preserve">Eaves &amp; rakes</t>
  </si>
  <si>
    <t xml:space="preserve">2 x 96.08 + 4 x 12.86</t>
  </si>
  <si>
    <t xml:space="preserve">06-245</t>
  </si>
  <si>
    <t xml:space="preserve">2x4 soffit framing / lookouts</t>
  </si>
  <si>
    <t xml:space="preserve">06-250</t>
  </si>
  <si>
    <t xml:space="preserve">LVL beams 3-1/2" x 14" (carport eaves 2 x 25', porch front 22')</t>
  </si>
  <si>
    <t xml:space="preserve">No structural; 24' clear span</t>
  </si>
  <si>
    <t xml:space="preserve">A101 / A401</t>
  </si>
  <si>
    <t xml:space="preserve">2 x 25' + 22'</t>
  </si>
  <si>
    <t xml:space="preserve">Size ASSUMED - engineer to design (RFI-07).</t>
  </si>
  <si>
    <t xml:space="preserve">06-260</t>
  </si>
  <si>
    <t xml:space="preserve">6x6 PT posts w/ base &amp; cap, wrapped</t>
  </si>
  <si>
    <t xml:space="preserve">2 posts shown on A101</t>
  </si>
  <si>
    <t xml:space="preserve">06-270</t>
  </si>
  <si>
    <t xml:space="preserve">ZIP System 7/16" wall sheathing, 4x9 panels</t>
  </si>
  <si>
    <t xml:space="preserve">Design notes: Huberwood ZIP wall sheathing</t>
  </si>
  <si>
    <t xml:space="preserve">Exterior walls + gables</t>
  </si>
  <si>
    <t xml:space="preserve">SHT</t>
  </si>
  <si>
    <t xml:space="preserve">(2x70.08x9 + 2x21x9 + 2 gables 55.13) / 36 SF per sheet (openings not deducted - cut waste)</t>
  </si>
  <si>
    <t xml:space="preserve">06-280</t>
  </si>
  <si>
    <t xml:space="preserve">ZIP System 5/8" roof sheathing, 4x8 panels</t>
  </si>
  <si>
    <t xml:space="preserve">Design notes: ZIP roof sheathing</t>
  </si>
  <si>
    <t xml:space="preserve">96.08' x 11.5' x 1.118 x 2 / 32</t>
  </si>
  <si>
    <t xml:space="preserve">06-290</t>
  </si>
  <si>
    <t xml:space="preserve">ZIP System tape 3.75" x 90' rolls</t>
  </si>
  <si>
    <t xml:space="preserve">~7 panels per roll (Huber)</t>
  </si>
  <si>
    <t xml:space="preserve">Wall &amp; roof seams</t>
  </si>
  <si>
    <t xml:space="preserve">RL</t>
  </si>
  <si>
    <t xml:space="preserve">(wall + roof sheets) / 7</t>
  </si>
  <si>
    <t xml:space="preserve">06-295</t>
  </si>
  <si>
    <t xml:space="preserve">ZIP liquid flash / stretch tape at openings &amp; penetrations</t>
  </si>
  <si>
    <t xml:space="preserve">06-300</t>
  </si>
  <si>
    <t xml:space="preserve">Structural connectors (truss ties, straps, hangers, post bases)</t>
  </si>
  <si>
    <t xml:space="preserve">Structure</t>
  </si>
  <si>
    <t xml:space="preserve">06-310</t>
  </si>
  <si>
    <t xml:space="preserve">Nails, screws, adhesives, sill gasket</t>
  </si>
  <si>
    <t xml:space="preserve">area under roof</t>
  </si>
  <si>
    <t xml:space="preserve">06-320</t>
  </si>
  <si>
    <t xml:space="preserve">Framing labor - conditioned (walls, trusses, purlins, sheathing)</t>
  </si>
  <si>
    <t xml:space="preserve">06-325</t>
  </si>
  <si>
    <t xml:space="preserve">Framing labor - porch &amp; carport (beams, posts, trusses, sheathing)</t>
  </si>
  <si>
    <t xml:space="preserve">Porch &amp; carport</t>
  </si>
  <si>
    <t xml:space="preserve">21' x 29.92'</t>
  </si>
  <si>
    <t xml:space="preserve">06-340</t>
  </si>
  <si>
    <t xml:space="preserve">Telehandler rental (truss &amp; material set)</t>
  </si>
  <si>
    <t xml:space="preserve">07-100</t>
  </si>
  <si>
    <t xml:space="preserve">Wall insulation R-21 batts (2x6)</t>
  </si>
  <si>
    <t xml:space="preserve">R-value ASSUMED</t>
  </si>
  <si>
    <t xml:space="preserve">Conditioned ext. walls</t>
  </si>
  <si>
    <t xml:space="preserve">interior perimeter 166.0 LF x 9' - openings 293 SF</t>
  </si>
  <si>
    <t xml:space="preserve">Verify R-values with energy code (RFI-03).</t>
  </si>
  <si>
    <t xml:space="preserve">07-110</t>
  </si>
  <si>
    <t xml:space="preserve">Ceiling insulation blown fiberglass R-38</t>
  </si>
  <si>
    <t xml:space="preserve">Σ room ceiling areas (A101 RCP)</t>
  </si>
  <si>
    <t xml:space="preserve">07-115</t>
  </si>
  <si>
    <t xml:space="preserve">Air sealing package (top plates, penetrations, rim)</t>
  </si>
  <si>
    <t xml:space="preserve">Envelope</t>
  </si>
  <si>
    <t xml:space="preserve">07-130</t>
  </si>
  <si>
    <t xml:space="preserve">Architectural asphalt shingles, black/charcoal</t>
  </si>
  <si>
    <t xml:space="preserve">Roof 6/12</t>
  </si>
  <si>
    <t xml:space="preserve">SQ</t>
  </si>
  <si>
    <t xml:space="preserve">96.08 x 11.5 x 1.118 x 2 / 100</t>
  </si>
  <si>
    <t xml:space="preserve">ZIP roof serves as underlayment (Huber listing) - no felt included.</t>
  </si>
  <si>
    <t xml:space="preserve">07-140</t>
  </si>
  <si>
    <t xml:space="preserve">Hip &amp; ridge cap shingles</t>
  </si>
  <si>
    <t xml:space="preserve">Ridge</t>
  </si>
  <si>
    <t xml:space="preserve">ridge length 96.08'</t>
  </si>
  <si>
    <t xml:space="preserve">07-145</t>
  </si>
  <si>
    <t xml:space="preserve">Ridge vent (over conditioned attic only)</t>
  </si>
  <si>
    <t xml:space="preserve">64.17'</t>
  </si>
  <si>
    <t xml:space="preserve">07-150</t>
  </si>
  <si>
    <t xml:space="preserve">Fiber cement smooth panel siding 4x9, incl. Z-flash</t>
  </si>
  <si>
    <t xml:space="preserve">Design notes / A401 'Fiber cement smooth panel siding'</t>
  </si>
  <si>
    <t xml:space="preserve">W, E, N elevations + N gable</t>
  </si>
  <si>
    <t xml:space="preserve">2x70.08x9 + 21x9 + gable 55.13 - (A 120 + B 48 + C 8 + doors 09/10 40)</t>
  </si>
  <si>
    <t xml:space="preserve">07-155</t>
  </si>
  <si>
    <t xml:space="preserve">Panel joint trim / battens</t>
  </si>
  <si>
    <t xml:space="preserve">A401 joint lines</t>
  </si>
  <si>
    <t xml:space="preserve">Panel siding</t>
  </si>
  <si>
    <t xml:space="preserve">~16 vertical joints x 9' + horizontals</t>
  </si>
  <si>
    <t xml:space="preserve">07-160</t>
  </si>
  <si>
    <t xml:space="preserve">Fiber cement T&amp;G siding - porch walls &amp; front gable</t>
  </si>
  <si>
    <t xml:space="preserve">Notes: T&amp;G (also says 'lap siding front porch')</t>
  </si>
  <si>
    <t xml:space="preserve">A401 Elev B / Notes</t>
  </si>
  <si>
    <t xml:space="preserve">21x9 - (D 45 + door 01 32) + porch sides 2x5.92x9 + gable 55.13</t>
  </si>
  <si>
    <t xml:space="preserve">Lap vs T&amp;G conflict - RFI-09.</t>
  </si>
  <si>
    <t xml:space="preserve">07-170</t>
  </si>
  <si>
    <t xml:space="preserve">Fiber cement T&amp;G porch ceiling (sloped)</t>
  </si>
  <si>
    <t xml:space="preserve">A101 RCP / Notes</t>
  </si>
  <si>
    <t xml:space="preserve">21 x 5.92 x 1.118 slope</t>
  </si>
  <si>
    <t xml:space="preserve">07-180</t>
  </si>
  <si>
    <t xml:space="preserve">Fiber cement panel ceiling - covered parking (sloped)</t>
  </si>
  <si>
    <t xml:space="preserve">Covered parking</t>
  </si>
  <si>
    <t xml:space="preserve">21 x 24 x 1.118 slope</t>
  </si>
  <si>
    <t xml:space="preserve">07-190</t>
  </si>
  <si>
    <t xml:space="preserve">Fiber cement vented soffit, 12"</t>
  </si>
  <si>
    <t xml:space="preserve">Overhang ASSUMED 12"</t>
  </si>
  <si>
    <t xml:space="preserve">07-200</t>
  </si>
  <si>
    <t xml:space="preserve">Fiber cement fascia 5/4x6, painted</t>
  </si>
  <si>
    <t xml:space="preserve">07-210</t>
  </si>
  <si>
    <t xml:space="preserve">Fiber cement trim 5/4x4 (corners &amp; opening casings)</t>
  </si>
  <si>
    <t xml:space="preserve">6 corners x 9' + opening perimeters (A 100, B 40, C 12, D ganged 28, 01 20, 09/10 32.7)</t>
  </si>
  <si>
    <t xml:space="preserve">07-220</t>
  </si>
  <si>
    <t xml:space="preserve">5" seamless aluminum gutters</t>
  </si>
  <si>
    <t xml:space="preserve">Shown on A401</t>
  </si>
  <si>
    <t xml:space="preserve">Both eaves</t>
  </si>
  <si>
    <t xml:space="preserve">2 x 96.08'</t>
  </si>
  <si>
    <t xml:space="preserve">07-225</t>
  </si>
  <si>
    <t xml:space="preserve">2x3 aluminum downspouts w/ splash blocks</t>
  </si>
  <si>
    <t xml:space="preserve">Corners</t>
  </si>
  <si>
    <t xml:space="preserve">4 x 10.5'</t>
  </si>
  <si>
    <t xml:space="preserve">07-230</t>
  </si>
  <si>
    <t xml:space="preserve">Drip edge</t>
  </si>
  <si>
    <t xml:space="preserve">eaves + rakes</t>
  </si>
  <si>
    <t xml:space="preserve">07-235</t>
  </si>
  <si>
    <t xml:space="preserve">Starter strip</t>
  </si>
  <si>
    <t xml:space="preserve">Eaves</t>
  </si>
  <si>
    <t xml:space="preserve">07-240</t>
  </si>
  <si>
    <t xml:space="preserve">Pipe boots, roof flashing &amp; sealant</t>
  </si>
  <si>
    <t xml:space="preserve">07-250</t>
  </si>
  <si>
    <t xml:space="preserve">Exterior caulking &amp; sealants</t>
  </si>
  <si>
    <t xml:space="preserve">08-100</t>
  </si>
  <si>
    <t xml:space="preserve">Window Type A - vinyl sliding 6'-0" x 4'-0"</t>
  </si>
  <si>
    <t xml:space="preserve">A701 / A401 Elev D</t>
  </si>
  <si>
    <t xml:space="preserve">West wall (hall/kitchen/living)</t>
  </si>
  <si>
    <t xml:space="preserve">schedule = plan = elevation (5)</t>
  </si>
  <si>
    <t xml:space="preserve">08-110</t>
  </si>
  <si>
    <t xml:space="preserve">Window Type B - vinyl casement 6'-0" x 4'-0"</t>
  </si>
  <si>
    <t xml:space="preserve">A701 / A401 Elev C</t>
  </si>
  <si>
    <t xml:space="preserve">Master Bed, Bed #2</t>
  </si>
  <si>
    <t xml:space="preserve">schedule = plan (2)</t>
  </si>
  <si>
    <t xml:space="preserve">Egress window - verify clear opening (RFI-10).</t>
  </si>
  <si>
    <t xml:space="preserve">08-120</t>
  </si>
  <si>
    <t xml:space="preserve">Window Type C - vinyl single hung 2'-0" x 4'-0"</t>
  </si>
  <si>
    <t xml:space="preserve">A701 / A401 Elev A</t>
  </si>
  <si>
    <t xml:space="preserve">Laundry</t>
  </si>
  <si>
    <t xml:space="preserve">08-130</t>
  </si>
  <si>
    <t xml:space="preserve">Window Type D - vinyl single hung 3'-0" x 5'-0" (ganged x3, grids)</t>
  </si>
  <si>
    <t xml:space="preserve">A701 / A401 Elev B</t>
  </si>
  <si>
    <t xml:space="preserve">Living (porch wall)</t>
  </si>
  <si>
    <t xml:space="preserve">Tempered glazing likely near door 01 (RFI-11).</t>
  </si>
  <si>
    <t xml:space="preserve">Door 01 (R1) exterior entry 4'-0" x 8'-0" w/ sidelite, prehung</t>
  </si>
  <si>
    <t xml:space="preserve">Living / porch</t>
  </si>
  <si>
    <t xml:space="preserve">Leaf vs sidelite split not dimensioned (RFI-12).</t>
  </si>
  <si>
    <t xml:space="preserve">08-210</t>
  </si>
  <si>
    <t xml:space="preserve">Door 09 (R2) exterior 3'-0" x 6'-8" half-lite, prehung</t>
  </si>
  <si>
    <t xml:space="preserve">Laundry from carport</t>
  </si>
  <si>
    <t xml:space="preserve">08-220</t>
  </si>
  <si>
    <t xml:space="preserve">Door 10 (R5) exterior 3'-0" x 6'-8" flush, prehung</t>
  </si>
  <si>
    <t xml:space="preserve">Storage from carport</t>
  </si>
  <si>
    <t xml:space="preserve">08-230</t>
  </si>
  <si>
    <t xml:space="preserve">Doors 02/04/05/06/08 (R3) interior 2'-8" x 6'-8" shaker, prehung</t>
  </si>
  <si>
    <t xml:space="preserve">08-240</t>
  </si>
  <si>
    <t xml:space="preserve">Doors 03/07 (R4) interior bypass 6'-0" x 6'-8" 2-panel</t>
  </si>
  <si>
    <t xml:space="preserve">A701 / Notes</t>
  </si>
  <si>
    <t xml:space="preserve">Closets</t>
  </si>
  <si>
    <t xml:space="preserve">08-250</t>
  </si>
  <si>
    <t xml:space="preserve">Hardware - entry handleset &amp; deadbolt (01)</t>
  </si>
  <si>
    <t xml:space="preserve">Door 01</t>
  </si>
  <si>
    <t xml:space="preserve">08-255</t>
  </si>
  <si>
    <t xml:space="preserve">Hardware - exterior keyed lever &amp; deadbolt (09, 10)</t>
  </si>
  <si>
    <t xml:space="preserve">Doors 09/10</t>
  </si>
  <si>
    <t xml:space="preserve">08-260</t>
  </si>
  <si>
    <t xml:space="preserve">Hardware - privacy levers (02, 04, 05, 06)</t>
  </si>
  <si>
    <t xml:space="preserve">Bedrooms &amp; baths</t>
  </si>
  <si>
    <t xml:space="preserve">08-265</t>
  </si>
  <si>
    <t xml:space="preserve">Hardware - passage lever (08)</t>
  </si>
  <si>
    <t xml:space="preserve">08-270</t>
  </si>
  <si>
    <t xml:space="preserve">Hardware - bypass pulls &amp; track (03, 07)</t>
  </si>
  <si>
    <t xml:space="preserve">08-275</t>
  </si>
  <si>
    <t xml:space="preserve">Door stops</t>
  </si>
  <si>
    <t xml:space="preserve">Swing doors</t>
  </si>
  <si>
    <t xml:space="preserve">09-100</t>
  </si>
  <si>
    <t xml:space="preserve">1/2" gypsum board - walls, hang &amp; finish Level 3</t>
  </si>
  <si>
    <t xml:space="preserve">Design notes: level 3 (storage level 2)</t>
  </si>
  <si>
    <t xml:space="preserve">All walls</t>
  </si>
  <si>
    <t xml:space="preserve">ext. walls int. face 166.0x9 - 293 + partitions 138.6x9x2 - int. doors 338</t>
  </si>
  <si>
    <t xml:space="preserve">Walls taken to 9' in all rooms (8' ceiling rooms slightly over).</t>
  </si>
  <si>
    <t xml:space="preserve">09-105</t>
  </si>
  <si>
    <t xml:space="preserve">Moisture-resistant gypsum premium (baths &amp; laundry)</t>
  </si>
  <si>
    <t xml:space="preserve">Baths, laundry</t>
  </si>
  <si>
    <t xml:space="preserve">bath #2 275 + master bath 304 + laundry 376</t>
  </si>
  <si>
    <t xml:space="preserve">09-110</t>
  </si>
  <si>
    <t xml:space="preserve">5/8" gypsum board - ceilings, hang &amp; finish Level 3</t>
  </si>
  <si>
    <t xml:space="preserve">Conditioned ceilings</t>
  </si>
  <si>
    <t xml:space="preserve">Σ room ceiling areas</t>
  </si>
  <si>
    <t xml:space="preserve">09-120</t>
  </si>
  <si>
    <t xml:space="preserve">Drywall accessories (bead, mud, tape, screws)</t>
  </si>
  <si>
    <t xml:space="preserve">Walls &amp; ceilings</t>
  </si>
  <si>
    <t xml:space="preserve">walls + ceilings</t>
  </si>
  <si>
    <t xml:space="preserve">09-200</t>
  </si>
  <si>
    <t xml:space="preserve">Baseboard 3-1/4" MDF, painted</t>
  </si>
  <si>
    <t xml:space="preserve">Base not specified - ASSUMED</t>
  </si>
  <si>
    <t xml:space="preserve">All rooms</t>
  </si>
  <si>
    <t xml:space="preserve">ext. 166 + partitions 2x138.6 - door openings 60.7 - tubs 10 - cabinets 20</t>
  </si>
  <si>
    <t xml:space="preserve">09-210</t>
  </si>
  <si>
    <t xml:space="preserve">Door casing 2-1/4" MDF, painted</t>
  </si>
  <si>
    <t xml:space="preserve">ASSUMED</t>
  </si>
  <si>
    <t xml:space="preserve">R3 168.3 + R4 80.7 + ext. doors interior 55.1</t>
  </si>
  <si>
    <t xml:space="preserve">09-220</t>
  </si>
  <si>
    <t xml:space="preserve">Window stool &amp; apron, MDF (drywall returns)</t>
  </si>
  <si>
    <t xml:space="preserve">Windows</t>
  </si>
  <si>
    <t xml:space="preserve">2 x Σ(width + 6"), D ganged</t>
  </si>
  <si>
    <t xml:space="preserve">09-230</t>
  </si>
  <si>
    <t xml:space="preserve">Interior paint - walls &amp; ceilings (primer + 2 coats)</t>
  </si>
  <si>
    <t xml:space="preserve">Storage not painted (level 2 only)</t>
  </si>
  <si>
    <t xml:space="preserve">walls + ceilings - storage</t>
  </si>
  <si>
    <t xml:space="preserve">09-240</t>
  </si>
  <si>
    <t xml:space="preserve">Paint interior doors (both faces)</t>
  </si>
  <si>
    <t xml:space="preserve">5 R3 + 4 R4 panels + 1 (ext. door interior faces avg.)</t>
  </si>
  <si>
    <t xml:space="preserve">09-250</t>
  </si>
  <si>
    <t xml:space="preserve">Paint interior trim</t>
  </si>
  <si>
    <t xml:space="preserve">Trim</t>
  </si>
  <si>
    <t xml:space="preserve">base + casing + stool/apron</t>
  </si>
  <si>
    <t xml:space="preserve">09-260</t>
  </si>
  <si>
    <t xml:space="preserve">Exterior paint - fiber cement siding, ceilings, soffit</t>
  </si>
  <si>
    <t xml:space="preserve">Primed FC field painted (ASSUMED)</t>
  </si>
  <si>
    <t xml:space="preserve">panel + T&amp;G + porch ceiling + carport ceiling + soffit</t>
  </si>
  <si>
    <t xml:space="preserve">09-265</t>
  </si>
  <si>
    <t xml:space="preserve">Exterior paint - fascia &amp; trim</t>
  </si>
  <si>
    <t xml:space="preserve">fascia + trim + joint trim</t>
  </si>
  <si>
    <t xml:space="preserve">09-270</t>
  </si>
  <si>
    <t xml:space="preserve">Exterior doors paint/finish</t>
  </si>
  <si>
    <t xml:space="preserve">Doors 01/09/10</t>
  </si>
  <si>
    <t xml:space="preserve">09-280</t>
  </si>
  <si>
    <t xml:space="preserve">Interior caulk &amp; touch-up</t>
  </si>
  <si>
    <t xml:space="preserve">10-100</t>
  </si>
  <si>
    <t xml:space="preserve">Bath accessories (towel bar, ring, TP holder, hook)</t>
  </si>
  <si>
    <t xml:space="preserve">Baths</t>
  </si>
  <si>
    <t xml:space="preserve">SET</t>
  </si>
  <si>
    <t xml:space="preserve">10-110</t>
  </si>
  <si>
    <t xml:space="preserve">Vanity mirrors</t>
  </si>
  <si>
    <t xml:space="preserve">Notes: mirror over vanity</t>
  </si>
  <si>
    <t xml:space="preserve">10-120</t>
  </si>
  <si>
    <t xml:space="preserve">Closet shelf &amp; rod / laundry &amp; storage shelving</t>
  </si>
  <si>
    <t xml:space="preserve">Notes: rod and shelf</t>
  </si>
  <si>
    <t xml:space="preserve">Closets, laundry, storage</t>
  </si>
  <si>
    <t xml:space="preserve">master closet 10 + bed #2 closet 9.7 + laundry 6 + storage 6</t>
  </si>
  <si>
    <t xml:space="preserve">10-130</t>
  </si>
  <si>
    <t xml:space="preserve">Tub shower rods</t>
  </si>
  <si>
    <t xml:space="preserve">10-140</t>
  </si>
  <si>
    <t xml:space="preserve">House numbers &amp; mailbox</t>
  </si>
  <si>
    <t xml:space="preserve">11-100</t>
  </si>
  <si>
    <t xml:space="preserve">Appliances (range, refrigerator, OTR microwave, dishwasher, washer/dryer)</t>
  </si>
  <si>
    <t xml:space="preserve">Design notes: supplied by owner</t>
  </si>
  <si>
    <t xml:space="preserve">Kitchen, laundry</t>
  </si>
  <si>
    <t xml:space="preserve">Owner furnished - $0 in contract.</t>
  </si>
  <si>
    <t xml:space="preserve">11-110</t>
  </si>
  <si>
    <t xml:space="preserve">Appliance installation &amp; hookups (cords, DW, ice maker, OTR vent)</t>
  </si>
  <si>
    <t xml:space="preserve">12-100</t>
  </si>
  <si>
    <t xml:space="preserve">Base cabinets - frameless, shaker doors</t>
  </si>
  <si>
    <t xml:space="preserve">A101 / Notes</t>
  </si>
  <si>
    <t xml:space="preserve">Kitchen run + island</t>
  </si>
  <si>
    <t xml:space="preserve">back run 6.0 + island 7.7 - DW space 2.0 (SCALED)</t>
  </si>
  <si>
    <t xml:space="preserve">12-110</t>
  </si>
  <si>
    <t xml:space="preserve">Wall cabinets - frameless, shaker doors</t>
  </si>
  <si>
    <t xml:space="preserve">Kitchen</t>
  </si>
  <si>
    <t xml:space="preserve">flanking range 2.9 + 3.1 + over refrigerator 3.4 (SCALED)</t>
  </si>
  <si>
    <t xml:space="preserve">12-120</t>
  </si>
  <si>
    <t xml:space="preserve">Tall pantry cabinet 30" x 24" x 84"</t>
  </si>
  <si>
    <t xml:space="preserve">Plan symbol at west end of run - verify (RFI-13).</t>
  </si>
  <si>
    <t xml:space="preserve">12-125</t>
  </si>
  <si>
    <t xml:space="preserve">Cabinet fillers, finished ends, island back panel</t>
  </si>
  <si>
    <t xml:space="preserve">12-130</t>
  </si>
  <si>
    <t xml:space="preserve">Bath vanities 30" frameless shaker</t>
  </si>
  <si>
    <t xml:space="preserve">Bath #2, master bath</t>
  </si>
  <si>
    <t xml:space="preserve">12-200</t>
  </si>
  <si>
    <t xml:space="preserve">Laminate countertops (post-form/custom)</t>
  </si>
  <si>
    <t xml:space="preserve">Design notes: laminate</t>
  </si>
  <si>
    <t xml:space="preserve">Kitchen, island, vanities</t>
  </si>
  <si>
    <t xml:space="preserve">back run 12.75 + island 23.7 + vanities 9.15</t>
  </si>
  <si>
    <t xml:space="preserve">12-210</t>
  </si>
  <si>
    <t xml:space="preserve">Laminate 4" backsplash</t>
  </si>
  <si>
    <t xml:space="preserve">Kitchen, vanities</t>
  </si>
  <si>
    <t xml:space="preserve">kitchen 10.2 + vanities 12.3</t>
  </si>
  <si>
    <t xml:space="preserve">22-100</t>
  </si>
  <si>
    <t xml:space="preserve">Plumbing rough-in (under-slab DWV, PEX supply, top-out)</t>
  </si>
  <si>
    <t xml:space="preserve">13 connections</t>
  </si>
  <si>
    <t xml:space="preserve">kit. sink, DW, ice, 2 lav, 2 WC, 2 tub, washer, WH, 2 hose bibs</t>
  </si>
  <si>
    <t xml:space="preserve">22-110</t>
  </si>
  <si>
    <t xml:space="preserve">Kitchen sink SS 33" drop-in w/ chrome pull-down faucet</t>
  </si>
  <si>
    <t xml:space="preserve">Notes: chrome finish</t>
  </si>
  <si>
    <t xml:space="preserve">Island</t>
  </si>
  <si>
    <t xml:space="preserve">22-120</t>
  </si>
  <si>
    <t xml:space="preserve">Lavatory (drop-in) w/ chrome faucet &amp; drain</t>
  </si>
  <si>
    <t xml:space="preserve">22-130</t>
  </si>
  <si>
    <t xml:space="preserve">Water closet, elongated 2-pc w/ seat</t>
  </si>
  <si>
    <t xml:space="preserve">22-140</t>
  </si>
  <si>
    <t xml:space="preserve">Bathtub 60" w/ chrome tub/shower valve &amp; trim</t>
  </si>
  <si>
    <t xml:space="preserve">22-145</t>
  </si>
  <si>
    <t xml:space="preserve">Tub surround, 3-pc acrylic</t>
  </si>
  <si>
    <t xml:space="preserve">Notes: bathtub surround</t>
  </si>
  <si>
    <t xml:space="preserve">22-150</t>
  </si>
  <si>
    <t xml:space="preserve">Water heater 50 gal electric w/ pan, exp. tank, T&amp;P drain</t>
  </si>
  <si>
    <t xml:space="preserve">WH shown in storage (A101)</t>
  </si>
  <si>
    <t xml:space="preserve">Storage</t>
  </si>
  <si>
    <t xml:space="preserve">Size/fuel ASSUMED.</t>
  </si>
  <si>
    <t xml:space="preserve">22-160</t>
  </si>
  <si>
    <t xml:space="preserve">Washer box, ice maker box, (2) frost-free hose bibs</t>
  </si>
  <si>
    <t xml:space="preserve">Notes: 2 hose bibs</t>
  </si>
  <si>
    <t xml:space="preserve">Laundry, kitchen, exterior</t>
  </si>
  <si>
    <t xml:space="preserve">22-190</t>
  </si>
  <si>
    <t xml:space="preserve">Fixture trim-out labor</t>
  </si>
  <si>
    <t xml:space="preserve">Fixtures</t>
  </si>
  <si>
    <t xml:space="preserve">sink, 2 lav, 2 WC, 2 tub</t>
  </si>
  <si>
    <t xml:space="preserve">22-195</t>
  </si>
  <si>
    <t xml:space="preserve">Plumbing permit &amp; inspections</t>
  </si>
  <si>
    <t xml:space="preserve">23-100</t>
  </si>
  <si>
    <t xml:space="preserve">2-ton split heat pump w/ air handler &amp; 5 kW heat strip</t>
  </si>
  <si>
    <t xml:space="preserve">Notes: 2-ton unit, air handler, ducted</t>
  </si>
  <si>
    <t xml:space="preserve">Attic AH / exterior condenser</t>
  </si>
  <si>
    <t xml:space="preserve">Heat pump vs straight-cool + furnace ASSUMED (no gas shown). AH location RFI-14.</t>
  </si>
  <si>
    <t xml:space="preserve">23-110</t>
  </si>
  <si>
    <t xml:space="preserve">Duct system (plenum, R-8 flex, registers, returns)</t>
  </si>
  <si>
    <t xml:space="preserve">conditioned area</t>
  </si>
  <si>
    <t xml:space="preserve">23-120</t>
  </si>
  <si>
    <t xml:space="preserve">HVAC installation, line set, condensate, pad, thermostat, start-up</t>
  </si>
  <si>
    <t xml:space="preserve">System</t>
  </si>
  <si>
    <t xml:space="preserve">23-130</t>
  </si>
  <si>
    <t xml:space="preserve">Bath exhaust fans, ducted to exterior</t>
  </si>
  <si>
    <t xml:space="preserve">Notes / A101 RCP</t>
  </si>
  <si>
    <t xml:space="preserve">23-140</t>
  </si>
  <si>
    <t xml:space="preserve">Dryer vent &amp; wall cap</t>
  </si>
  <si>
    <t xml:space="preserve">23-150</t>
  </si>
  <si>
    <t xml:space="preserve">Microwave/range vent duct to exterior</t>
  </si>
  <si>
    <t xml:space="preserve">Notes: microwave over stove</t>
  </si>
  <si>
    <t xml:space="preserve">23-160</t>
  </si>
  <si>
    <t xml:space="preserve">Mechanical permit</t>
  </si>
  <si>
    <t xml:space="preserve">26-100</t>
  </si>
  <si>
    <t xml:space="preserve">200A service: meter/main, panel, grounding, surge protection</t>
  </si>
  <si>
    <t xml:space="preserve">Storage / east wall</t>
  </si>
  <si>
    <t xml:space="preserve">Service size ASSUMED (all-electric).</t>
  </si>
  <si>
    <t xml:space="preserve">26-110</t>
  </si>
  <si>
    <t xml:space="preserve">Branch rough-in wiring - conditioned (AFCI/GFCI, boxes, wire)</t>
  </si>
  <si>
    <t xml:space="preserve">26-115</t>
  </si>
  <si>
    <t xml:space="preserve">Branch rough-in wiring - porch &amp; carport</t>
  </si>
  <si>
    <t xml:space="preserve">21 x 29.92</t>
  </si>
  <si>
    <t xml:space="preserve">26-120</t>
  </si>
  <si>
    <t xml:space="preserve">Devices: receptacles, switches, GFCI, plates</t>
  </si>
  <si>
    <t xml:space="preserve">~38 receptacles + ~26 switches (code-minimum layout ASSUMED)</t>
  </si>
  <si>
    <t xml:space="preserve">No electrical plan (RFI-15).</t>
  </si>
  <si>
    <t xml:space="preserve">26-130</t>
  </si>
  <si>
    <t xml:space="preserve">Dedicated appliance/equipment circuits</t>
  </si>
  <si>
    <t xml:space="preserve">Range, dryer, WH, HVAC(2), DW, MW, fridge</t>
  </si>
  <si>
    <t xml:space="preserve">26-140</t>
  </si>
  <si>
    <t xml:space="preserve">Smoke/CO combination detectors, hardwired, interconnected</t>
  </si>
  <si>
    <t xml:space="preserve">Bedrooms, hall, living</t>
  </si>
  <si>
    <t xml:space="preserve">26-300</t>
  </si>
  <si>
    <t xml:space="preserve">LED recessed 6" wafer lights</t>
  </si>
  <si>
    <t xml:space="preserve">Per RCP</t>
  </si>
  <si>
    <t xml:space="preserve">RCP symbol count (carport 4, laundry, storage, closet, hall 5, baths 4, closet, living 4, porch 2)</t>
  </si>
  <si>
    <t xml:space="preserve">26-310</t>
  </si>
  <si>
    <t xml:space="preserve">Pendant lights over island</t>
  </si>
  <si>
    <t xml:space="preserve">A101 RCP note</t>
  </si>
  <si>
    <t xml:space="preserve">Kitchen island</t>
  </si>
  <si>
    <t xml:space="preserve">26-320</t>
  </si>
  <si>
    <t xml:space="preserve">Ceiling fans w/ light kit &amp; fan-rated box</t>
  </si>
  <si>
    <t xml:space="preserve">Master, Bed #2, Living</t>
  </si>
  <si>
    <t xml:space="preserve">26-325</t>
  </si>
  <si>
    <t xml:space="preserve">Vanity lights</t>
  </si>
  <si>
    <t xml:space="preserve">26-330</t>
  </si>
  <si>
    <t xml:space="preserve">Exterior lights (6 soffit downlights, front door sconce, rear entry light)</t>
  </si>
  <si>
    <t xml:space="preserve">Notes: down lighting from soffits</t>
  </si>
  <si>
    <t xml:space="preserve">26-340</t>
  </si>
  <si>
    <t xml:space="preserve">Low-voltage (data/TV 4 drops, doorbell)</t>
  </si>
  <si>
    <t xml:space="preserve">26-350</t>
  </si>
  <si>
    <t xml:space="preserve">Electrical permit</t>
  </si>
  <si>
    <t xml:space="preserve">32-100</t>
  </si>
  <si>
    <t xml:space="preserve">Concrete driveway 4", 12' wide (lot + 10' ROW apron)</t>
  </si>
  <si>
    <t xml:space="preserve">A101: 12'-0" drive</t>
  </si>
  <si>
    <t xml:space="preserve">A100 / A101</t>
  </si>
  <si>
    <t xml:space="preserve">West side</t>
  </si>
  <si>
    <t xml:space="preserve">12' x (24 + 70.08 + 25 front yard + 10 ROW)</t>
  </si>
  <si>
    <t xml:space="preserve">ROW length ASSUMED 10'; culvert see 32-130.</t>
  </si>
  <si>
    <t xml:space="preserve">32-110</t>
  </si>
  <si>
    <t xml:space="preserve">Concrete apron at covered parking (5' + 4' strips)</t>
  </si>
  <si>
    <t xml:space="preserve">West of carport</t>
  </si>
  <si>
    <t xml:space="preserve">9' x 24'</t>
  </si>
  <si>
    <t xml:space="preserve">32-120</t>
  </si>
  <si>
    <t xml:space="preserve">Front walk / landing pad</t>
  </si>
  <si>
    <t xml:space="preserve">10.4' x 6.0' (SCALED)</t>
  </si>
  <si>
    <t xml:space="preserve">32-130</t>
  </si>
  <si>
    <t xml:space="preserve">Driveway culvert &amp; headwalls (if open-ditch street)</t>
  </si>
  <si>
    <t xml:space="preserve">Street</t>
  </si>
  <si>
    <t xml:space="preserve">32-200</t>
  </si>
  <si>
    <t xml:space="preserve">Shrubs, 3 gal (planting bed along west wall)</t>
  </si>
  <si>
    <t xml:space="preserve">A101 plant symbols</t>
  </si>
  <si>
    <t xml:space="preserve">West bed</t>
  </si>
  <si>
    <t xml:space="preserve">32-205</t>
  </si>
  <si>
    <t xml:space="preserve">Bed prep, edging &amp; mulch</t>
  </si>
  <si>
    <t xml:space="preserve">4' x 64.17' bed</t>
  </si>
  <si>
    <t xml:space="preserve">4' x 64.17'</t>
  </si>
  <si>
    <t xml:space="preserve">32-207</t>
  </si>
  <si>
    <t xml:space="preserve">Shade tree, 30 gal</t>
  </si>
  <si>
    <t xml:space="preserve">A100/A101 tree symbol</t>
  </si>
  <si>
    <t xml:space="preserve">Front yard</t>
  </si>
  <si>
    <t xml:space="preserve">32-210</t>
  </si>
  <si>
    <t xml:space="preserve">Sod - front &amp; east side yards</t>
  </si>
  <si>
    <t xml:space="preserve">Front/side</t>
  </si>
  <si>
    <t xml:space="preserve">front ~950 + east side 8' x 94' ~750</t>
  </si>
  <si>
    <t xml:space="preserve">32-215</t>
  </si>
  <si>
    <t xml:space="preserve">Seed &amp; straw - balance of disturbed lot</t>
  </si>
  <si>
    <t xml:space="preserve">Rear</t>
  </si>
  <si>
    <t xml:space="preserve">lot 9,000 - slab - paving (in lot) - bed - sod</t>
  </si>
  <si>
    <t xml:space="preserve">33-100</t>
  </si>
  <si>
    <t xml:space="preserve">Water service 1" (meter to house)</t>
  </si>
  <si>
    <t xml:space="preserve">Front</t>
  </si>
  <si>
    <t xml:space="preserve">Meter location unknown (RFI-01).</t>
  </si>
  <si>
    <t xml:space="preserve">33-110</t>
  </si>
  <si>
    <t xml:space="preserve">Sewer service 4" PVC w/ cleanouts</t>
  </si>
  <si>
    <t xml:space="preserve">33-120</t>
  </si>
  <si>
    <t xml:space="preserve">Water/sewer tap, meter &amp; impact fees (municipal)</t>
  </si>
  <si>
    <t xml:space="preserve">Utility</t>
  </si>
  <si>
    <t xml:space="preserve">Septic system EXCLUDED - assumes public sewer available.</t>
  </si>
  <si>
    <t xml:space="preserve">33-130</t>
  </si>
  <si>
    <t xml:space="preserve">Underground electric service lateral</t>
  </si>
  <si>
    <t xml:space="preserve">33-140</t>
  </si>
  <si>
    <t xml:space="preserve">Utility company service/connection charges</t>
  </si>
  <si>
    <t xml:space="preserve">Cost ID</t>
  </si>
  <si>
    <t xml:space="preserve">Material $/unit</t>
  </si>
  <si>
    <t xml:space="preserve">Labor $/unit</t>
  </si>
  <si>
    <t xml:space="preserve">Sub / Equip / Other $/unit</t>
  </si>
  <si>
    <t xml:space="preserve">Total $/unit</t>
  </si>
  <si>
    <t xml:space="preserve">Source</t>
  </si>
  <si>
    <t xml:space="preserve">Market</t>
  </si>
  <si>
    <t xml:space="preserve">Price Date</t>
  </si>
  <si>
    <t xml:space="preserve">Estimator budget unit cost, NE Louisiana (Monroe/Ouachita) Q4-2026 - not a quote; verify with local supplier/sub</t>
  </si>
  <si>
    <t xml:space="preserve">Monroe / West Monroe / Ouachita Parish, LA</t>
  </si>
  <si>
    <t xml:space="preserve">Material pre-tax</t>
  </si>
  <si>
    <t xml:space="preserve">Owner furnished per design notes</t>
  </si>
  <si>
    <t xml:space="preserve">Line</t>
  </si>
  <si>
    <t xml:space="preserve">Takeoff ID</t>
  </si>
  <si>
    <t xml:space="preserve">Qty (gross)</t>
  </si>
  <si>
    <t xml:space="preserve">Material $/u</t>
  </si>
  <si>
    <t xml:space="preserve">Labor $/u</t>
  </si>
  <si>
    <t xml:space="preserve">Sub/Equip $/u</t>
  </si>
  <si>
    <t xml:space="preserve">Line Total $</t>
  </si>
  <si>
    <t xml:space="preserve">Check</t>
  </si>
  <si>
    <t xml:space="preserve">Takeoff / Workbook Qty</t>
  </si>
  <si>
    <t xml:space="preserve">Model / Reference Qty</t>
  </si>
  <si>
    <t xml:space="preserve">Variance</t>
  </si>
  <si>
    <t xml:space="preserve">Variance %</t>
  </si>
  <si>
    <t xml:space="preserve">Reason / Explanation</t>
  </si>
  <si>
    <t xml:space="preserve">Review Status</t>
  </si>
  <si>
    <t xml:space="preserve">Conditioned area vs. design notes (1,352 gsf)</t>
  </si>
  <si>
    <t xml:space="preserve">Takeoff uses dimensioned 21'-0" x 64'-2". Notes area likely measured to outside of sheathing/siding. Within tolerance.</t>
  </si>
  <si>
    <t xml:space="preserve">OK</t>
  </si>
  <si>
    <t xml:space="preserve">Porch area vs. design notes (117 gsf)</t>
  </si>
  <si>
    <t xml:space="preserve">Takeoff = slab under porch incl. side-wall footprint (21' x 5'-11"); notes = clear area between porch walls (~19.8' x 5.92'). Not an error.</t>
  </si>
  <si>
    <t xml:space="preserve">Explained</t>
  </si>
  <si>
    <t xml:space="preserve">Covered parking vs. design notes (504 gsf)</t>
  </si>
  <si>
    <t xml:space="preserve">21'-0" x 24'-0" dimensioned.</t>
  </si>
  <si>
    <t xml:space="preserve">Total under roof vs. design notes (1,973 gsf)</t>
  </si>
  <si>
    <t xml:space="preserve">Dimensions sum to 70'-1" vs 70'-0" overall (1" chain rounding) - 0.1%.</t>
  </si>
  <si>
    <t xml:space="preserve">Slab footprint: takeoff vs. model</t>
  </si>
  <si>
    <t xml:space="preserve">Same dimension source.</t>
  </si>
  <si>
    <t xml:space="preserve">Exterior 2x6 wall length: takeoff vs. model</t>
  </si>
  <si>
    <t xml:space="preserve">Includes porch side walls (W/E walls run 70'-1").</t>
  </si>
  <si>
    <t xml:space="preserve">Interior partition length: takeoff vs. model</t>
  </si>
  <si>
    <t xml:space="preserve">Both from scaled partition coordinates (calibrated 18.81 px/ft). Partition locations are not dimensioned on A101 - scaled tolerance about +/-3".</t>
  </si>
  <si>
    <t xml:space="preserve">Review</t>
  </si>
  <si>
    <t xml:space="preserve">Window count: takeoff vs. model vs. A701 schedule (11)</t>
  </si>
  <si>
    <t xml:space="preserve">Schedule 11 = plan tags 11 = elevations 11 (A x5 west, B x2 east, C x1 rear, D x3 front).</t>
  </si>
  <si>
    <t xml:space="preserve">Exterior doors: takeoff vs. model (A701 01, 09, 10)</t>
  </si>
  <si>
    <t xml:space="preserve">Interior doors: takeoff vs. model (A701 02-08)</t>
  </si>
  <si>
    <t xml:space="preserve">Roof area (sloped): takeoff vs. model</t>
  </si>
  <si>
    <t xml:space="preserve">Both include ASSUMED 12" eave &amp; rake overhangs.</t>
  </si>
  <si>
    <t xml:space="preserve">Truss count: takeoff vs. model</t>
  </si>
  <si>
    <t xml:space="preserve">48" O.C. per design notes (see RFI-06).</t>
  </si>
  <si>
    <t xml:space="preserve">Light fixtures (cans + pendants + fans): takeoff vs. model RCP count</t>
  </si>
  <si>
    <t xml:space="preserve">Exterior soffit/wall lights (26-330) are counted separately and are not on the RCP.</t>
  </si>
  <si>
    <t xml:space="preserve">Overall length: dimension chain vs. overall dim 70'-0"</t>
  </si>
  <si>
    <t xml:space="preserve">FT</t>
  </si>
  <si>
    <t xml:space="preserve">6'-10" + 13'-5" + 9'-10" + 11'-2" + 22'-11" + 5'-11" = 70'-1". 1" discrepancy on A101 - used the chain.</t>
  </si>
  <si>
    <t xml:space="preserve">Plan calibration: 21'-0" vs. vertical 70'-0" (px/ft)</t>
  </si>
  <si>
    <t xml:space="preserve">px/ft</t>
  </si>
  <si>
    <t xml:space="preserve">Horizontal vs. vertical scale agreement 0.4% - scan/plot distortion negligible.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</si>
</sst>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$#,##0"/>
    <numFmt numFmtId="167" formatCode="\$#,##0.00"/>
    <numFmt numFmtId="168" formatCode="#,##0.00"/>
    <numFmt numFmtId="169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Cambria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0000CC"/>
      <name val="Cambria"/>
      <family val="0"/>
      <charset val="1"/>
    </font>
    <font>
      <i val="true"/>
      <sz val="9"/>
      <name val="Cambria"/>
      <family val="0"/>
      <charset val="1"/>
    </font>
    <font>
      <sz val="10"/>
      <color rgb="FF0000CC"/>
      <name val="Calibri"/>
      <family val="0"/>
      <charset val="1"/>
    </font>
    <font>
      <i val="true"/>
      <sz val="8"/>
      <color rgb="FF808080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name val="Cambria"/>
      <family val="0"/>
      <charset val="1"/>
    </font>
    <font>
      <sz val="10"/>
      <color rgb="FF0061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3A5F"/>
        <bgColor rgb="FF333333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CC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stDB" displayName="CostDB" ref="A1:L173" headerRowCount="1" totalsRowCount="0" totalsRowShown="0">
  <autoFilter ref="A1:L173"/>
  <tableColumns count="12">
    <tableColumn id="1" name="Cost ID"/>
    <tableColumn id="2" name="Cost Code"/>
    <tableColumn id="3" name="Description"/>
    <tableColumn id="4" name="Unit"/>
    <tableColumn id="5" name="Material $/unit"/>
    <tableColumn id="6" name="Labor $/unit"/>
    <tableColumn id="7" name="Sub / Equip / Other $/unit"/>
    <tableColumn id="8" name="Total $/unit"/>
    <tableColumn id="9" name="Source"/>
    <tableColumn id="10" name="Market"/>
    <tableColumn id="11" name="Price Date"/>
    <tableColumn id="12" name="Notes"/>
  </tableColumns>
</table>
</file>

<file path=xl/tables/table2.xml><?xml version="1.0" encoding="utf-8"?>
<table xmlns="http://schemas.openxmlformats.org/spreadsheetml/2006/main" id="2" name="Estimate" displayName="Estimate" ref="A1:R173" headerRowCount="1" totalsRowCount="0" totalsRowShown="0">
  <autoFilter ref="A1:R173"/>
  <tableColumns count="18">
    <tableColumn id="1" name="Line"/>
    <tableColumn id="2" name="Cost Code"/>
    <tableColumn id="3" name="Division"/>
    <tableColumn id="4" name="Description"/>
    <tableColumn id="5" name="Takeoff ID"/>
    <tableColumn id="6" name="Qty (gross)"/>
    <tableColumn id="7" name="Unit"/>
    <tableColumn id="8" name="Cost ID"/>
    <tableColumn id="9" name="Material $/u"/>
    <tableColumn id="10" name="Labor $/u"/>
    <tableColumn id="11" name="Sub/Equip $/u"/>
    <tableColumn id="12" name="Material $"/>
    <tableColumn id="13" name="Labor $"/>
    <tableColumn id="14" name="Sub/Equip $"/>
    <tableColumn id="15" name="Line Total $"/>
    <tableColumn id="16" name="Basis"/>
    <tableColumn id="17" name="Confidence"/>
    <tableColumn id="18" name="$ / Cond. SF"/>
  </tableColumns>
</table>
</file>

<file path=xl/tables/table3.xml><?xml version="1.0" encoding="utf-8"?>
<table xmlns="http://schemas.openxmlformats.org/spreadsheetml/2006/main" id="3" name="Takeoff" displayName="Takeoff" ref="A1:W173" headerRowCount="1" totalsRowCount="0" totalsRowShown="0">
  <autoFilter ref="A1:W173"/>
  <tableColumns count="23">
    <tableColumn id="1" name="ID"/>
    <tableColumn id="2" name="Cost Code"/>
    <tableColumn id="3" name="Division"/>
    <tableColumn id="4" name="Description"/>
    <tableColumn id="5" name="Spec / Reference"/>
    <tableColumn id="6" name="Sheet"/>
    <tableColumn id="7" name="Location"/>
    <tableColumn id="8" name="Takeoff Type"/>
    <tableColumn id="9" name="Count"/>
    <tableColumn id="10" name="Length (ft)"/>
    <tableColumn id="11" name="Width / Ht (ft)"/>
    <tableColumn id="12" name="Depth (ft)"/>
    <tableColumn id="13" name="Factor"/>
    <tableColumn id="14" name="Deduct"/>
    <tableColumn id="15" name="Net Qty"/>
    <tableColumn id="16" name="Unit"/>
    <tableColumn id="17" name="Waste %"/>
    <tableColumn id="18" name="Gross Qty"/>
    <tableColumn id="19" name="Round Up?"/>
    <tableColumn id="20" name="Calculation / Method"/>
    <tableColumn id="21" name="Basis"/>
    <tableColumn id="22" name="Confidence"/>
    <tableColumn id="23" name="Notes / Assump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8.35" hidden="false" customHeight="false" outlineLevel="0" collapsed="false">
      <c r="A6" s="2" t="s">
        <v>7</v>
      </c>
      <c r="B6" s="3" t="s">
        <v>8</v>
      </c>
    </row>
    <row r="7" customFormat="false" ht="28.35" hidden="false" customHeight="false" outlineLevel="0" collapsed="false">
      <c r="A7" s="2" t="s">
        <v>9</v>
      </c>
      <c r="B7" s="3" t="s">
        <v>10</v>
      </c>
    </row>
    <row r="8" customFormat="false" ht="28.3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28.35" hidden="false" customHeight="false" outlineLevel="0" collapsed="false">
      <c r="A11" s="2" t="s">
        <v>17</v>
      </c>
      <c r="B11" s="3" t="s">
        <v>18</v>
      </c>
    </row>
    <row r="12" customFormat="false" ht="28.3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  <row r="14" customFormat="false" ht="15" hidden="false" customHeight="false" outlineLevel="0" collapsed="false">
      <c r="A14" s="2"/>
      <c r="B14" s="3"/>
    </row>
    <row r="15" customFormat="false" ht="41.75" hidden="false" customHeight="false" outlineLevel="0" collapsed="false">
      <c r="A15" s="2" t="s">
        <v>23</v>
      </c>
      <c r="B15" s="3" t="s">
        <v>24</v>
      </c>
    </row>
    <row r="16" customFormat="false" ht="15" hidden="false" customHeight="false" outlineLevel="0" collapsed="false">
      <c r="A16" s="2" t="s">
        <v>25</v>
      </c>
      <c r="B16" s="3" t="s">
        <v>26</v>
      </c>
    </row>
    <row r="17" customFormat="false" ht="15" hidden="false" customHeight="false" outlineLevel="0" collapsed="false">
      <c r="A17" s="2" t="s">
        <v>27</v>
      </c>
      <c r="B17" s="3" t="s">
        <v>28</v>
      </c>
    </row>
    <row r="18" customFormat="false" ht="15" hidden="false" customHeight="false" outlineLevel="0" collapsed="false">
      <c r="A18" s="2"/>
      <c r="B18" s="3"/>
    </row>
    <row r="19" customFormat="false" ht="15" hidden="false" customHeight="false" outlineLevel="0" collapsed="false">
      <c r="A19" s="2" t="s">
        <v>29</v>
      </c>
      <c r="B19" s="3"/>
    </row>
    <row r="20" customFormat="false" ht="15" hidden="false" customHeight="false" outlineLevel="0" collapsed="false">
      <c r="A20" s="2" t="s">
        <v>30</v>
      </c>
      <c r="B20" s="3" t="s">
        <v>31</v>
      </c>
    </row>
    <row r="21" customFormat="false" ht="15" hidden="false" customHeight="false" outlineLevel="0" collapsed="false">
      <c r="A21" s="4" t="s">
        <v>32</v>
      </c>
      <c r="B21" s="5" t="s">
        <v>33</v>
      </c>
    </row>
    <row r="22" customFormat="false" ht="15" hidden="false" customHeight="false" outlineLevel="0" collapsed="false">
      <c r="A22" s="2" t="s">
        <v>34</v>
      </c>
      <c r="B22" s="3" t="s">
        <v>35</v>
      </c>
    </row>
    <row r="23" customFormat="false" ht="15" hidden="false" customHeight="false" outlineLevel="0" collapsed="false">
      <c r="A23" s="6" t="s">
        <v>36</v>
      </c>
      <c r="B23" s="3" t="s">
        <v>37</v>
      </c>
    </row>
    <row r="24" customFormat="false" ht="15" hidden="false" customHeight="false" outlineLevel="0" collapsed="false">
      <c r="A24" s="7" t="s">
        <v>38</v>
      </c>
      <c r="B24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&amp;CSFH Development - Preliminary Estimate -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8" min="3" style="0" width="15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8" t="s">
        <v>41</v>
      </c>
    </row>
    <row r="4" customFormat="false" ht="15" hidden="false" customHeight="false" outlineLevel="0" collapsed="false">
      <c r="B4" s="0" t="s">
        <v>42</v>
      </c>
      <c r="C4" s="9" t="n">
        <v>1352</v>
      </c>
      <c r="E4" s="10" t="s">
        <v>43</v>
      </c>
      <c r="G4" s="11" t="n">
        <v>0.1</v>
      </c>
      <c r="H4" s="12" t="s">
        <v>44</v>
      </c>
    </row>
    <row r="5" customFormat="false" ht="15" hidden="false" customHeight="false" outlineLevel="0" collapsed="false">
      <c r="B5" s="0" t="s">
        <v>45</v>
      </c>
      <c r="C5" s="9" t="n">
        <v>117</v>
      </c>
      <c r="E5" s="10" t="s">
        <v>46</v>
      </c>
      <c r="G5" s="11" t="n">
        <v>0.05</v>
      </c>
      <c r="H5" s="12" t="s">
        <v>47</v>
      </c>
    </row>
    <row r="6" customFormat="false" ht="15" hidden="false" customHeight="false" outlineLevel="0" collapsed="false">
      <c r="B6" s="0" t="s">
        <v>48</v>
      </c>
      <c r="C6" s="9" t="n">
        <v>504</v>
      </c>
      <c r="E6" s="10" t="s">
        <v>49</v>
      </c>
      <c r="G6" s="11" t="n">
        <v>0.08</v>
      </c>
      <c r="H6" s="12" t="s">
        <v>47</v>
      </c>
    </row>
    <row r="7" customFormat="false" ht="15" hidden="false" customHeight="false" outlineLevel="0" collapsed="false">
      <c r="B7" s="0" t="s">
        <v>50</v>
      </c>
      <c r="C7" s="0" t="n">
        <f aca="false">SUM(C4:C6)</f>
        <v>1973</v>
      </c>
      <c r="E7" s="0" t="s">
        <v>51</v>
      </c>
      <c r="G7" s="11" t="n">
        <v>0.1</v>
      </c>
      <c r="H7" s="12" t="s">
        <v>47</v>
      </c>
    </row>
    <row r="9" customFormat="false" ht="15" hidden="false" customHeight="false" outlineLevel="0" collapsed="false">
      <c r="A9" s="13" t="s">
        <v>52</v>
      </c>
      <c r="B9" s="13" t="s">
        <v>53</v>
      </c>
      <c r="C9" s="14" t="s">
        <v>54</v>
      </c>
      <c r="D9" s="14" t="s">
        <v>55</v>
      </c>
      <c r="E9" s="14" t="s">
        <v>56</v>
      </c>
      <c r="F9" s="14" t="s">
        <v>57</v>
      </c>
      <c r="G9" s="15" t="s">
        <v>58</v>
      </c>
      <c r="H9" s="16" t="s">
        <v>59</v>
      </c>
    </row>
    <row r="10" customFormat="false" ht="15" hidden="false" customHeight="false" outlineLevel="0" collapsed="false">
      <c r="A10" s="17" t="s">
        <v>60</v>
      </c>
      <c r="B10" s="17" t="s">
        <v>61</v>
      </c>
      <c r="C10" s="18" t="n">
        <f aca="false">SUMIFS('Estimate Detail'!$L$2:$L$173,'Estimate Detail'!$B$2:$B$173,$A10)</f>
        <v>1413.255</v>
      </c>
      <c r="D10" s="18" t="n">
        <f aca="false">SUMIFS('Estimate Detail'!$M$2:$M$173,'Estimate Detail'!$B$2:$B$173,$A10)</f>
        <v>14018.58</v>
      </c>
      <c r="E10" s="18" t="n">
        <f aca="false">SUMIFS('Estimate Detail'!$N$2:$N$173,'Estimate Detail'!$B$2:$B$173,$A10)</f>
        <v>15516.5125</v>
      </c>
      <c r="F10" s="18" t="n">
        <f aca="false">SUM(C10:E10)</f>
        <v>30948.3475</v>
      </c>
      <c r="G10" s="19" t="n">
        <f aca="false">F10/$C$4</f>
        <v>22.8907895710059</v>
      </c>
      <c r="H10" s="20" t="n">
        <f aca="false">F10/$F$25</f>
        <v>0.12104201129048</v>
      </c>
    </row>
    <row r="11" customFormat="false" ht="15" hidden="false" customHeight="false" outlineLevel="0" collapsed="false">
      <c r="A11" s="17" t="s">
        <v>62</v>
      </c>
      <c r="B11" s="17" t="s">
        <v>63</v>
      </c>
      <c r="C11" s="18" t="n">
        <f aca="false">SUMIFS('Estimate Detail'!$L$2:$L$173,'Estimate Detail'!$B$2:$B$173,$A11)</f>
        <v>2907</v>
      </c>
      <c r="D11" s="18" t="n">
        <f aca="false">SUMIFS('Estimate Detail'!$M$2:$M$173,'Estimate Detail'!$B$2:$B$173,$A11)</f>
        <v>368</v>
      </c>
      <c r="E11" s="18" t="n">
        <f aca="false">SUMIFS('Estimate Detail'!$N$2:$N$173,'Estimate Detail'!$B$2:$B$173,$A11)</f>
        <v>6305.785</v>
      </c>
      <c r="F11" s="18" t="n">
        <f aca="false">SUM(C11:E11)</f>
        <v>9580.785</v>
      </c>
      <c r="G11" s="19" t="n">
        <f aca="false">F11/$C$4</f>
        <v>7.08637943786982</v>
      </c>
      <c r="H11" s="20" t="n">
        <f aca="false">F11/$F$25</f>
        <v>0.0374713863524266</v>
      </c>
    </row>
    <row r="12" customFormat="false" ht="15" hidden="false" customHeight="false" outlineLevel="0" collapsed="false">
      <c r="A12" s="17" t="s">
        <v>64</v>
      </c>
      <c r="B12" s="17" t="s">
        <v>65</v>
      </c>
      <c r="C12" s="18" t="n">
        <f aca="false">SUMIFS('Estimate Detail'!$L$2:$L$173,'Estimate Detail'!$B$2:$B$173,$A12)</f>
        <v>12009.2629861111</v>
      </c>
      <c r="D12" s="18" t="n">
        <f aca="false">SUMIFS('Estimate Detail'!$M$2:$M$173,'Estimate Detail'!$B$2:$B$173,$A12)</f>
        <v>7346.43975</v>
      </c>
      <c r="E12" s="18" t="n">
        <f aca="false">SUMIFS('Estimate Detail'!$N$2:$N$173,'Estimate Detail'!$B$2:$B$173,$A12)</f>
        <v>5074</v>
      </c>
      <c r="F12" s="18" t="n">
        <f aca="false">SUM(C12:E12)</f>
        <v>24429.7027361111</v>
      </c>
      <c r="G12" s="19" t="n">
        <f aca="false">F12/$C$4</f>
        <v>18.0693067574786</v>
      </c>
      <c r="H12" s="20" t="n">
        <f aca="false">F12/$F$25</f>
        <v>0.0955469546284311</v>
      </c>
    </row>
    <row r="13" customFormat="false" ht="15" hidden="false" customHeight="false" outlineLevel="0" collapsed="false">
      <c r="A13" s="17" t="s">
        <v>66</v>
      </c>
      <c r="B13" s="17" t="s">
        <v>67</v>
      </c>
      <c r="C13" s="18" t="n">
        <f aca="false">SUMIFS('Estimate Detail'!$L$2:$L$173,'Estimate Detail'!$B$2:$B$173,$A13)</f>
        <v>25289.74373</v>
      </c>
      <c r="D13" s="18" t="n">
        <f aca="false">SUMIFS('Estimate Detail'!$M$2:$M$173,'Estimate Detail'!$B$2:$B$173,$A13)</f>
        <v>12125.3125</v>
      </c>
      <c r="E13" s="18" t="n">
        <f aca="false">SUMIFS('Estimate Detail'!$N$2:$N$173,'Estimate Detail'!$B$2:$B$173,$A13)</f>
        <v>1150</v>
      </c>
      <c r="F13" s="18" t="n">
        <f aca="false">SUM(C13:E13)</f>
        <v>38565.05623</v>
      </c>
      <c r="G13" s="19" t="n">
        <f aca="false">F13/$C$4</f>
        <v>28.5244498742604</v>
      </c>
      <c r="H13" s="20" t="n">
        <f aca="false">F13/$F$25</f>
        <v>0.150831703424864</v>
      </c>
    </row>
    <row r="14" customFormat="false" ht="15" hidden="false" customHeight="false" outlineLevel="0" collapsed="false">
      <c r="A14" s="17" t="s">
        <v>68</v>
      </c>
      <c r="B14" s="17" t="s">
        <v>69</v>
      </c>
      <c r="C14" s="18" t="n">
        <f aca="false">SUMIFS('Estimate Detail'!$L$2:$L$173,'Estimate Detail'!$B$2:$B$173,$A14)</f>
        <v>12969.6679237698</v>
      </c>
      <c r="D14" s="18" t="n">
        <f aca="false">SUMIFS('Estimate Detail'!$M$2:$M$173,'Estimate Detail'!$B$2:$B$173,$A14)</f>
        <v>12228.7949727592</v>
      </c>
      <c r="E14" s="18" t="n">
        <f aca="false">SUMIFS('Estimate Detail'!$N$2:$N$173,'Estimate Detail'!$B$2:$B$173,$A14)</f>
        <v>5876.7605</v>
      </c>
      <c r="F14" s="18" t="n">
        <f aca="false">SUM(C14:E14)</f>
        <v>31075.223396529</v>
      </c>
      <c r="G14" s="19" t="n">
        <f aca="false">F14/$C$4</f>
        <v>22.9846326897403</v>
      </c>
      <c r="H14" s="20" t="n">
        <f aca="false">F14/$F$25</f>
        <v>0.121538235319893</v>
      </c>
    </row>
    <row r="15" customFormat="false" ht="15" hidden="false" customHeight="false" outlineLevel="0" collapsed="false">
      <c r="A15" s="17" t="s">
        <v>70</v>
      </c>
      <c r="B15" s="17" t="s">
        <v>71</v>
      </c>
      <c r="C15" s="18" t="n">
        <f aca="false">SUMIFS('Estimate Detail'!$L$2:$L$173,'Estimate Detail'!$B$2:$B$173,$A15)</f>
        <v>10415</v>
      </c>
      <c r="D15" s="18" t="n">
        <f aca="false">SUMIFS('Estimate Detail'!$M$2:$M$173,'Estimate Detail'!$B$2:$B$173,$A15)</f>
        <v>2752</v>
      </c>
      <c r="E15" s="18" t="n">
        <f aca="false">SUMIFS('Estimate Detail'!$N$2:$N$173,'Estimate Detail'!$B$2:$B$173,$A15)</f>
        <v>0</v>
      </c>
      <c r="F15" s="18" t="n">
        <f aca="false">SUM(C15:E15)</f>
        <v>13167</v>
      </c>
      <c r="G15" s="19" t="n">
        <f aca="false">F15/$C$4</f>
        <v>9.73890532544379</v>
      </c>
      <c r="H15" s="20" t="n">
        <f aca="false">F15/$F$25</f>
        <v>0.0514974236560367</v>
      </c>
    </row>
    <row r="16" customFormat="false" ht="15" hidden="false" customHeight="false" outlineLevel="0" collapsed="false">
      <c r="A16" s="17" t="s">
        <v>72</v>
      </c>
      <c r="B16" s="17" t="s">
        <v>73</v>
      </c>
      <c r="C16" s="18" t="n">
        <f aca="false">SUMIFS('Estimate Detail'!$L$2:$L$173,'Estimate Detail'!$B$2:$B$173,$A16)</f>
        <v>7388.18297429828</v>
      </c>
      <c r="D16" s="18" t="n">
        <f aca="false">SUMIFS('Estimate Detail'!$M$2:$M$173,'Estimate Detail'!$B$2:$B$173,$A16)</f>
        <v>18569.4684827605</v>
      </c>
      <c r="E16" s="18" t="n">
        <f aca="false">SUMIFS('Estimate Detail'!$N$2:$N$173,'Estimate Detail'!$B$2:$B$173,$A16)</f>
        <v>0</v>
      </c>
      <c r="F16" s="18" t="n">
        <f aca="false">SUM(C16:E16)</f>
        <v>25957.6514570588</v>
      </c>
      <c r="G16" s="19" t="n">
        <f aca="false">F16/$C$4</f>
        <v>19.1994463439784</v>
      </c>
      <c r="H16" s="20" t="n">
        <f aca="false">F16/$F$25</f>
        <v>0.101522911384514</v>
      </c>
    </row>
    <row r="17" customFormat="false" ht="15" hidden="false" customHeight="false" outlineLevel="0" collapsed="false">
      <c r="A17" s="17" t="s">
        <v>74</v>
      </c>
      <c r="B17" s="17" t="s">
        <v>75</v>
      </c>
      <c r="C17" s="18" t="n">
        <f aca="false">SUMIFS('Estimate Detail'!$L$2:$L$173,'Estimate Detail'!$B$2:$B$173,$A17)</f>
        <v>993</v>
      </c>
      <c r="D17" s="18" t="n">
        <f aca="false">SUMIFS('Estimate Detail'!$M$2:$M$173,'Estimate Detail'!$B$2:$B$173,$A17)</f>
        <v>599</v>
      </c>
      <c r="E17" s="18" t="n">
        <f aca="false">SUMIFS('Estimate Detail'!$N$2:$N$173,'Estimate Detail'!$B$2:$B$173,$A17)</f>
        <v>0</v>
      </c>
      <c r="F17" s="18" t="n">
        <f aca="false">SUM(C17:E17)</f>
        <v>1592</v>
      </c>
      <c r="G17" s="19" t="n">
        <f aca="false">F17/$C$4</f>
        <v>1.17751479289941</v>
      </c>
      <c r="H17" s="20" t="n">
        <f aca="false">F17/$F$25</f>
        <v>0.00622646756743453</v>
      </c>
    </row>
    <row r="18" customFormat="false" ht="15" hidden="false" customHeight="false" outlineLevel="0" collapsed="false">
      <c r="A18" s="17" t="s">
        <v>76</v>
      </c>
      <c r="B18" s="17" t="s">
        <v>77</v>
      </c>
      <c r="C18" s="18" t="n">
        <f aca="false">SUMIFS('Estimate Detail'!$L$2:$L$173,'Estimate Detail'!$B$2:$B$173,$A18)</f>
        <v>85</v>
      </c>
      <c r="D18" s="18" t="n">
        <f aca="false">SUMIFS('Estimate Detail'!$M$2:$M$173,'Estimate Detail'!$B$2:$B$173,$A18)</f>
        <v>350</v>
      </c>
      <c r="E18" s="18" t="n">
        <f aca="false">SUMIFS('Estimate Detail'!$N$2:$N$173,'Estimate Detail'!$B$2:$B$173,$A18)</f>
        <v>0</v>
      </c>
      <c r="F18" s="18" t="n">
        <f aca="false">SUM(C18:E18)</f>
        <v>435</v>
      </c>
      <c r="G18" s="19" t="n">
        <f aca="false">F18/$C$4</f>
        <v>0.321745562130178</v>
      </c>
      <c r="H18" s="20" t="n">
        <f aca="false">F18/$F$25</f>
        <v>0.00170132750743343</v>
      </c>
    </row>
    <row r="19" customFormat="false" ht="15" hidden="false" customHeight="false" outlineLevel="0" collapsed="false">
      <c r="A19" s="17" t="s">
        <v>78</v>
      </c>
      <c r="B19" s="17" t="s">
        <v>79</v>
      </c>
      <c r="C19" s="18" t="n">
        <f aca="false">SUMIFS('Estimate Detail'!$L$2:$L$173,'Estimate Detail'!$B$2:$B$173,$A19)</f>
        <v>8669.14</v>
      </c>
      <c r="D19" s="18" t="n">
        <f aca="false">SUMIFS('Estimate Detail'!$M$2:$M$173,'Estimate Detail'!$B$2:$B$173,$A19)</f>
        <v>1776.5</v>
      </c>
      <c r="E19" s="18" t="n">
        <f aca="false">SUMIFS('Estimate Detail'!$N$2:$N$173,'Estimate Detail'!$B$2:$B$173,$A19)</f>
        <v>0</v>
      </c>
      <c r="F19" s="18" t="n">
        <f aca="false">SUM(C19:E19)</f>
        <v>10445.64</v>
      </c>
      <c r="G19" s="19" t="n">
        <f aca="false">F19/$C$4</f>
        <v>7.7260650887574</v>
      </c>
      <c r="H19" s="20" t="n">
        <f aca="false">F19/$F$25</f>
        <v>0.0408539187695332</v>
      </c>
    </row>
    <row r="20" customFormat="false" ht="15" hidden="false" customHeight="false" outlineLevel="0" collapsed="false">
      <c r="A20" s="17" t="s">
        <v>80</v>
      </c>
      <c r="B20" s="17" t="s">
        <v>81</v>
      </c>
      <c r="C20" s="18" t="n">
        <f aca="false">SUMIFS('Estimate Detail'!$L$2:$L$173,'Estimate Detail'!$B$2:$B$173,$A20)</f>
        <v>7150</v>
      </c>
      <c r="D20" s="18" t="n">
        <f aca="false">SUMIFS('Estimate Detail'!$M$2:$M$173,'Estimate Detail'!$B$2:$B$173,$A20)</f>
        <v>8355</v>
      </c>
      <c r="E20" s="18" t="n">
        <f aca="false">SUMIFS('Estimate Detail'!$N$2:$N$173,'Estimate Detail'!$B$2:$B$173,$A20)</f>
        <v>275</v>
      </c>
      <c r="F20" s="18" t="n">
        <f aca="false">SUM(C20:E20)</f>
        <v>15780</v>
      </c>
      <c r="G20" s="19" t="n">
        <f aca="false">F20/$C$4</f>
        <v>11.6715976331361</v>
      </c>
      <c r="H20" s="20" t="n">
        <f aca="false">F20/$F$25</f>
        <v>0.061717121993792</v>
      </c>
    </row>
    <row r="21" customFormat="false" ht="15" hidden="false" customHeight="false" outlineLevel="0" collapsed="false">
      <c r="A21" s="17" t="s">
        <v>82</v>
      </c>
      <c r="B21" s="17" t="s">
        <v>83</v>
      </c>
      <c r="C21" s="18" t="n">
        <f aca="false">SUMIFS('Estimate Detail'!$L$2:$L$173,'Estimate Detail'!$B$2:$B$173,$A21)</f>
        <v>7429.125</v>
      </c>
      <c r="D21" s="18" t="n">
        <f aca="false">SUMIFS('Estimate Detail'!$M$2:$M$173,'Estimate Detail'!$B$2:$B$173,$A21)</f>
        <v>4567.25</v>
      </c>
      <c r="E21" s="18" t="n">
        <f aca="false">SUMIFS('Estimate Detail'!$N$2:$N$173,'Estimate Detail'!$B$2:$B$173,$A21)</f>
        <v>175</v>
      </c>
      <c r="F21" s="18" t="n">
        <f aca="false">SUM(C21:E21)</f>
        <v>12171.375</v>
      </c>
      <c r="G21" s="19" t="n">
        <f aca="false">F21/$C$4</f>
        <v>9.00249630177515</v>
      </c>
      <c r="H21" s="20" t="n">
        <f aca="false">F21/$F$25</f>
        <v>0.0476034369903162</v>
      </c>
    </row>
    <row r="22" customFormat="false" ht="15" hidden="false" customHeight="false" outlineLevel="0" collapsed="false">
      <c r="A22" s="17" t="s">
        <v>84</v>
      </c>
      <c r="B22" s="17" t="s">
        <v>85</v>
      </c>
      <c r="C22" s="18" t="n">
        <f aca="false">SUMIFS('Estimate Detail'!$L$2:$L$173,'Estimate Detail'!$B$2:$B$173,$A22)</f>
        <v>7673.3375</v>
      </c>
      <c r="D22" s="18" t="n">
        <f aca="false">SUMIFS('Estimate Detail'!$M$2:$M$173,'Estimate Detail'!$B$2:$B$173,$A22)</f>
        <v>8910.1125</v>
      </c>
      <c r="E22" s="18" t="n">
        <f aca="false">SUMIFS('Estimate Detail'!$N$2:$N$173,'Estimate Detail'!$B$2:$B$173,$A22)</f>
        <v>225</v>
      </c>
      <c r="F22" s="18" t="n">
        <f aca="false">SUM(C22:E22)</f>
        <v>16808.45</v>
      </c>
      <c r="G22" s="19" t="n">
        <f aca="false">F22/$C$4</f>
        <v>12.4322855029586</v>
      </c>
      <c r="H22" s="20" t="n">
        <f aca="false">F22/$F$25</f>
        <v>0.0657394904421136</v>
      </c>
    </row>
    <row r="23" customFormat="false" ht="15" hidden="false" customHeight="false" outlineLevel="0" collapsed="false">
      <c r="A23" s="17" t="s">
        <v>86</v>
      </c>
      <c r="B23" s="17" t="s">
        <v>87</v>
      </c>
      <c r="C23" s="18" t="n">
        <f aca="false">SUMIFS('Estimate Detail'!$L$2:$L$173,'Estimate Detail'!$B$2:$B$173,$A23)</f>
        <v>8077.6428</v>
      </c>
      <c r="D23" s="18" t="n">
        <f aca="false">SUMIFS('Estimate Detail'!$M$2:$M$173,'Estimate Detail'!$B$2:$B$173,$A23)</f>
        <v>8258.8196</v>
      </c>
      <c r="E23" s="18" t="n">
        <f aca="false">SUMIFS('Estimate Detail'!$N$2:$N$173,'Estimate Detail'!$B$2:$B$173,$A23)</f>
        <v>1200</v>
      </c>
      <c r="F23" s="18" t="n">
        <f aca="false">SUM(C23:E23)</f>
        <v>17536.4624</v>
      </c>
      <c r="G23" s="19" t="n">
        <f aca="false">F23/$C$4</f>
        <v>12.9707562130178</v>
      </c>
      <c r="H23" s="20" t="n">
        <f aca="false">F23/$F$25</f>
        <v>0.0685868180786024</v>
      </c>
    </row>
    <row r="24" customFormat="false" ht="15" hidden="false" customHeight="false" outlineLevel="0" collapsed="false">
      <c r="A24" s="17" t="s">
        <v>88</v>
      </c>
      <c r="B24" s="17" t="s">
        <v>89</v>
      </c>
      <c r="C24" s="18" t="n">
        <f aca="false">SUMIFS('Estimate Detail'!$L$2:$L$173,'Estimate Detail'!$B$2:$B$173,$A24)</f>
        <v>0</v>
      </c>
      <c r="D24" s="18" t="n">
        <f aca="false">SUMIFS('Estimate Detail'!$M$2:$M$173,'Estimate Detail'!$B$2:$B$173,$A24)</f>
        <v>0</v>
      </c>
      <c r="E24" s="18" t="n">
        <f aca="false">SUMIFS('Estimate Detail'!$N$2:$N$173,'Estimate Detail'!$B$2:$B$173,$A24)</f>
        <v>7190</v>
      </c>
      <c r="F24" s="18" t="n">
        <f aca="false">SUM(C24:E24)</f>
        <v>7190</v>
      </c>
      <c r="G24" s="19" t="n">
        <f aca="false">F24/$C$4</f>
        <v>5.31804733727811</v>
      </c>
      <c r="H24" s="20" t="n">
        <f aca="false">F24/$F$25</f>
        <v>0.0281207925941295</v>
      </c>
    </row>
    <row r="25" customFormat="false" ht="15" hidden="false" customHeight="false" outlineLevel="0" collapsed="false">
      <c r="A25" s="21"/>
      <c r="B25" s="21" t="s">
        <v>90</v>
      </c>
      <c r="C25" s="22" t="n">
        <f aca="false">SUM(C10:C24)</f>
        <v>112469.357914179</v>
      </c>
      <c r="D25" s="22" t="n">
        <f aca="false">SUM(D10:D24)</f>
        <v>100225.27780552</v>
      </c>
      <c r="E25" s="22" t="n">
        <f aca="false">SUM(E10:E24)</f>
        <v>42988.058</v>
      </c>
      <c r="F25" s="22" t="n">
        <f aca="false">SUM(F10:F24)</f>
        <v>255682.693719699</v>
      </c>
      <c r="G25" s="23" t="n">
        <f aca="false">F25/$C$4</f>
        <v>189.11441843173</v>
      </c>
      <c r="H25" s="24" t="n">
        <f aca="false">F25/F25</f>
        <v>1</v>
      </c>
    </row>
    <row r="26" customFormat="false" ht="15" hidden="false" customHeight="false" outlineLevel="0" collapsed="false">
      <c r="A26" s="17"/>
      <c r="B26" s="25" t="s">
        <v>43</v>
      </c>
      <c r="C26" s="18"/>
      <c r="D26" s="18"/>
      <c r="E26" s="18"/>
      <c r="F26" s="18" t="n">
        <f aca="false">C25*G4</f>
        <v>11246.9357914179</v>
      </c>
      <c r="G26" s="19" t="n">
        <f aca="false">F26/$C$4</f>
        <v>8.31873949069373</v>
      </c>
      <c r="H26" s="20"/>
    </row>
    <row r="27" customFormat="false" ht="15" hidden="false" customHeight="false" outlineLevel="0" collapsed="false">
      <c r="A27" s="17"/>
      <c r="B27" s="26" t="s">
        <v>91</v>
      </c>
      <c r="C27" s="18"/>
      <c r="D27" s="18"/>
      <c r="E27" s="18"/>
      <c r="F27" s="18" t="n">
        <f aca="false">F25+F26</f>
        <v>266929.629511117</v>
      </c>
      <c r="G27" s="19" t="n">
        <f aca="false">F27/$C$4</f>
        <v>197.433157922424</v>
      </c>
      <c r="H27" s="20"/>
    </row>
    <row r="28" customFormat="false" ht="15" hidden="false" customHeight="false" outlineLevel="0" collapsed="false">
      <c r="A28" s="17"/>
      <c r="B28" s="25" t="s">
        <v>92</v>
      </c>
      <c r="C28" s="18"/>
      <c r="D28" s="18"/>
      <c r="E28" s="18"/>
      <c r="F28" s="18" t="n">
        <f aca="false">F27*G5</f>
        <v>13346.4814755558</v>
      </c>
      <c r="G28" s="19" t="n">
        <f aca="false">F28/$C$4</f>
        <v>9.87165789612118</v>
      </c>
      <c r="H28" s="20"/>
    </row>
    <row r="29" customFormat="false" ht="15" hidden="false" customHeight="false" outlineLevel="0" collapsed="false">
      <c r="A29" s="17"/>
      <c r="B29" s="25" t="s">
        <v>93</v>
      </c>
      <c r="C29" s="18"/>
      <c r="D29" s="18"/>
      <c r="E29" s="18"/>
      <c r="F29" s="18" t="n">
        <f aca="false">(F27+F28)*G6</f>
        <v>22422.0888789338</v>
      </c>
      <c r="G29" s="19" t="n">
        <f aca="false">F29/$C$4</f>
        <v>16.5843852654836</v>
      </c>
      <c r="H29" s="20"/>
    </row>
    <row r="30" customFormat="false" ht="15" hidden="false" customHeight="false" outlineLevel="0" collapsed="false">
      <c r="A30" s="17"/>
      <c r="B30" s="25" t="s">
        <v>94</v>
      </c>
      <c r="C30" s="18"/>
      <c r="D30" s="18"/>
      <c r="E30" s="18"/>
      <c r="F30" s="18" t="n">
        <f aca="false">(F27+F28+F29)*G7</f>
        <v>30269.8199865606</v>
      </c>
      <c r="G30" s="19" t="n">
        <f aca="false">F30/$C$4</f>
        <v>22.3889201084028</v>
      </c>
      <c r="H30" s="20"/>
    </row>
    <row r="31" customFormat="false" ht="15" hidden="false" customHeight="false" outlineLevel="0" collapsed="false">
      <c r="A31" s="21"/>
      <c r="B31" s="21" t="s">
        <v>95</v>
      </c>
      <c r="C31" s="22"/>
      <c r="D31" s="22"/>
      <c r="E31" s="22"/>
      <c r="F31" s="27" t="n">
        <f aca="false">F27+F28+F29+F30</f>
        <v>332968.019852167</v>
      </c>
      <c r="G31" s="23" t="n">
        <f aca="false">F31/$C$4</f>
        <v>246.278121192431</v>
      </c>
      <c r="H31" s="24"/>
    </row>
    <row r="32" customFormat="false" ht="15" hidden="false" customHeight="false" outlineLevel="0" collapsed="false">
      <c r="A32" s="17"/>
      <c r="B32" s="17" t="s">
        <v>96</v>
      </c>
      <c r="C32" s="18"/>
      <c r="D32" s="18"/>
      <c r="E32" s="18"/>
      <c r="F32" s="18" t="n">
        <f aca="false">F31/C7</f>
        <v>168.762300989441</v>
      </c>
      <c r="G32" s="19"/>
      <c r="H32" s="20"/>
    </row>
    <row r="34" customFormat="false" ht="45" hidden="false" customHeight="true" outlineLevel="0" collapsed="false">
      <c r="B34" s="28" t="s">
        <v>97</v>
      </c>
      <c r="C34" s="28"/>
      <c r="D34" s="28"/>
      <c r="E34" s="28"/>
      <c r="F34" s="28"/>
      <c r="G34" s="28"/>
      <c r="H34" s="28"/>
    </row>
  </sheetData>
  <mergeCells count="1">
    <mergeCell ref="B34:H34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&amp;CSFH Development - Preliminary Estimate -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60"/>
  </cols>
  <sheetData>
    <row r="1" customFormat="false" ht="30" hidden="false" customHeight="true" outlineLevel="0" collapsed="false">
      <c r="A1" s="29" t="s">
        <v>98</v>
      </c>
      <c r="B1" s="29" t="s">
        <v>99</v>
      </c>
      <c r="C1" s="29" t="s">
        <v>100</v>
      </c>
      <c r="D1" s="29" t="s">
        <v>101</v>
      </c>
      <c r="E1" s="29" t="s">
        <v>102</v>
      </c>
      <c r="F1" s="29" t="s">
        <v>21</v>
      </c>
      <c r="G1" s="29" t="s">
        <v>103</v>
      </c>
      <c r="H1" s="29" t="s">
        <v>104</v>
      </c>
      <c r="I1" s="29" t="s">
        <v>105</v>
      </c>
    </row>
    <row r="2" customFormat="false" ht="28.35" hidden="false" customHeight="false" outlineLevel="0" collapsed="false">
      <c r="A2" s="30" t="s">
        <v>106</v>
      </c>
      <c r="B2" s="30" t="s">
        <v>107</v>
      </c>
      <c r="C2" s="30" t="s">
        <v>108</v>
      </c>
      <c r="D2" s="30" t="s">
        <v>109</v>
      </c>
      <c r="E2" s="30" t="s">
        <v>110</v>
      </c>
      <c r="F2" s="30" t="s">
        <v>111</v>
      </c>
      <c r="G2" s="30" t="s">
        <v>112</v>
      </c>
      <c r="H2" s="30" t="s">
        <v>113</v>
      </c>
      <c r="I2" s="30" t="s">
        <v>114</v>
      </c>
    </row>
    <row r="3" customFormat="false" ht="28.35" hidden="false" customHeight="false" outlineLevel="0" collapsed="false">
      <c r="A3" s="30" t="s">
        <v>115</v>
      </c>
      <c r="B3" s="30" t="s">
        <v>116</v>
      </c>
      <c r="C3" s="30" t="s">
        <v>117</v>
      </c>
      <c r="D3" s="30" t="s">
        <v>118</v>
      </c>
      <c r="E3" s="30" t="s">
        <v>110</v>
      </c>
      <c r="F3" s="30" t="s">
        <v>111</v>
      </c>
      <c r="G3" s="30" t="s">
        <v>119</v>
      </c>
      <c r="H3" s="30" t="s">
        <v>120</v>
      </c>
      <c r="I3" s="30" t="s">
        <v>121</v>
      </c>
    </row>
    <row r="4" customFormat="false" ht="41.75" hidden="false" customHeight="false" outlineLevel="0" collapsed="false">
      <c r="A4" s="30" t="s">
        <v>122</v>
      </c>
      <c r="B4" s="30" t="s">
        <v>123</v>
      </c>
      <c r="C4" s="30" t="s">
        <v>117</v>
      </c>
      <c r="D4" s="30" t="s">
        <v>124</v>
      </c>
      <c r="E4" s="30" t="s">
        <v>110</v>
      </c>
      <c r="F4" s="30" t="s">
        <v>111</v>
      </c>
      <c r="G4" s="30" t="s">
        <v>125</v>
      </c>
      <c r="H4" s="30" t="s">
        <v>126</v>
      </c>
      <c r="I4" s="30" t="s">
        <v>127</v>
      </c>
    </row>
    <row r="5" customFormat="false" ht="28.35" hidden="false" customHeight="false" outlineLevel="0" collapsed="false">
      <c r="A5" s="30" t="s">
        <v>128</v>
      </c>
      <c r="B5" s="30" t="s">
        <v>129</v>
      </c>
      <c r="C5" s="30" t="s">
        <v>117</v>
      </c>
      <c r="D5" s="30" t="s">
        <v>130</v>
      </c>
      <c r="E5" s="30" t="s">
        <v>110</v>
      </c>
      <c r="F5" s="30" t="s">
        <v>111</v>
      </c>
      <c r="G5" s="30" t="s">
        <v>131</v>
      </c>
      <c r="H5" s="30" t="s">
        <v>132</v>
      </c>
      <c r="I5" s="30" t="s">
        <v>133</v>
      </c>
    </row>
    <row r="6" customFormat="false" ht="41.75" hidden="false" customHeight="false" outlineLevel="0" collapsed="false">
      <c r="A6" s="30" t="s">
        <v>134</v>
      </c>
      <c r="B6" s="30" t="s">
        <v>135</v>
      </c>
      <c r="C6" s="30" t="s">
        <v>117</v>
      </c>
      <c r="D6" s="30" t="s">
        <v>109</v>
      </c>
      <c r="E6" s="30" t="s">
        <v>110</v>
      </c>
      <c r="F6" s="30" t="s">
        <v>111</v>
      </c>
      <c r="G6" s="30" t="s">
        <v>136</v>
      </c>
      <c r="H6" s="30" t="s">
        <v>137</v>
      </c>
      <c r="I6" s="30" t="s">
        <v>138</v>
      </c>
    </row>
    <row r="7" customFormat="false" ht="28.35" hidden="false" customHeight="false" outlineLevel="0" collapsed="false">
      <c r="A7" s="30" t="s">
        <v>139</v>
      </c>
      <c r="B7" s="30" t="s">
        <v>140</v>
      </c>
      <c r="C7" s="30" t="s">
        <v>141</v>
      </c>
      <c r="D7" s="30" t="s">
        <v>142</v>
      </c>
      <c r="E7" s="30" t="s">
        <v>143</v>
      </c>
      <c r="F7" s="30" t="s">
        <v>144</v>
      </c>
      <c r="G7" s="30" t="s">
        <v>145</v>
      </c>
      <c r="H7" s="30" t="s">
        <v>146</v>
      </c>
      <c r="I7" s="30" t="s">
        <v>147</v>
      </c>
    </row>
    <row r="8" customFormat="false" ht="15" hidden="false" customHeight="false" outlineLevel="0" collapsed="false">
      <c r="A8" s="31" t="s">
        <v>142</v>
      </c>
      <c r="B8" s="31" t="s">
        <v>148</v>
      </c>
      <c r="C8" s="31" t="s">
        <v>149</v>
      </c>
      <c r="D8" s="31" t="s">
        <v>142</v>
      </c>
      <c r="E8" s="31" t="s">
        <v>150</v>
      </c>
      <c r="F8" s="31" t="s">
        <v>151</v>
      </c>
      <c r="G8" s="31" t="s">
        <v>142</v>
      </c>
      <c r="H8" s="31" t="s">
        <v>142</v>
      </c>
      <c r="I8" s="31" t="s">
        <v>152</v>
      </c>
    </row>
    <row r="9" customFormat="false" ht="15" hidden="false" customHeight="false" outlineLevel="0" collapsed="false">
      <c r="A9" s="31" t="s">
        <v>142</v>
      </c>
      <c r="B9" s="31" t="s">
        <v>153</v>
      </c>
      <c r="C9" s="31" t="s">
        <v>154</v>
      </c>
      <c r="D9" s="31" t="s">
        <v>142</v>
      </c>
      <c r="E9" s="31" t="s">
        <v>150</v>
      </c>
      <c r="F9" s="31" t="s">
        <v>151</v>
      </c>
      <c r="G9" s="31" t="s">
        <v>142</v>
      </c>
      <c r="H9" s="31" t="s">
        <v>142</v>
      </c>
      <c r="I9" s="31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&amp;CSFH Development - Preliminary Estimate -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55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30"/>
  </cols>
  <sheetData>
    <row r="1" customFormat="false" ht="30" hidden="false" customHeight="true" outlineLevel="0" collapsed="false">
      <c r="A1" s="29" t="s">
        <v>156</v>
      </c>
      <c r="B1" s="29" t="s">
        <v>157</v>
      </c>
      <c r="C1" s="29" t="s">
        <v>158</v>
      </c>
      <c r="D1" s="29" t="s">
        <v>159</v>
      </c>
      <c r="E1" s="29" t="s">
        <v>160</v>
      </c>
      <c r="F1" s="29" t="s">
        <v>161</v>
      </c>
      <c r="G1" s="29" t="s">
        <v>21</v>
      </c>
      <c r="H1" s="29" t="s">
        <v>162</v>
      </c>
    </row>
    <row r="2" customFormat="false" ht="41.75" hidden="false" customHeight="false" outlineLevel="0" collapsed="false">
      <c r="A2" s="30" t="s">
        <v>163</v>
      </c>
      <c r="B2" s="30" t="s">
        <v>164</v>
      </c>
      <c r="C2" s="30" t="s">
        <v>165</v>
      </c>
      <c r="D2" s="30" t="s">
        <v>166</v>
      </c>
      <c r="E2" s="30" t="s">
        <v>167</v>
      </c>
      <c r="F2" s="30" t="s">
        <v>3</v>
      </c>
      <c r="G2" s="30" t="s">
        <v>168</v>
      </c>
    </row>
    <row r="3" customFormat="false" ht="41.75" hidden="false" customHeight="false" outlineLevel="0" collapsed="false">
      <c r="A3" s="30" t="s">
        <v>169</v>
      </c>
      <c r="B3" s="30" t="s">
        <v>170</v>
      </c>
      <c r="C3" s="30" t="s">
        <v>171</v>
      </c>
      <c r="D3" s="30" t="s">
        <v>172</v>
      </c>
      <c r="E3" s="30" t="s">
        <v>173</v>
      </c>
      <c r="F3" s="30" t="s">
        <v>174</v>
      </c>
      <c r="G3" s="30" t="s">
        <v>168</v>
      </c>
    </row>
    <row r="4" customFormat="false" ht="28.35" hidden="false" customHeight="false" outlineLevel="0" collapsed="false">
      <c r="A4" s="30" t="s">
        <v>175</v>
      </c>
      <c r="B4" s="30" t="s">
        <v>176</v>
      </c>
      <c r="C4" s="30" t="s">
        <v>177</v>
      </c>
      <c r="D4" s="30" t="s">
        <v>178</v>
      </c>
      <c r="E4" s="30" t="s">
        <v>179</v>
      </c>
      <c r="F4" s="30" t="s">
        <v>180</v>
      </c>
      <c r="G4" s="30" t="s">
        <v>181</v>
      </c>
    </row>
    <row r="5" customFormat="false" ht="55.2" hidden="false" customHeight="false" outlineLevel="0" collapsed="false">
      <c r="A5" s="30" t="s">
        <v>182</v>
      </c>
      <c r="B5" s="30" t="s">
        <v>183</v>
      </c>
      <c r="C5" s="30" t="s">
        <v>184</v>
      </c>
      <c r="D5" s="30" t="s">
        <v>185</v>
      </c>
      <c r="E5" s="30" t="s">
        <v>186</v>
      </c>
      <c r="F5" s="30" t="s">
        <v>187</v>
      </c>
      <c r="G5" s="30" t="s">
        <v>168</v>
      </c>
    </row>
    <row r="6" customFormat="false" ht="41.75" hidden="false" customHeight="false" outlineLevel="0" collapsed="false">
      <c r="A6" s="30" t="s">
        <v>188</v>
      </c>
      <c r="B6" s="30" t="s">
        <v>149</v>
      </c>
      <c r="C6" s="30" t="s">
        <v>189</v>
      </c>
      <c r="D6" s="30" t="s">
        <v>190</v>
      </c>
      <c r="E6" s="30" t="s">
        <v>191</v>
      </c>
      <c r="F6" s="30" t="s">
        <v>192</v>
      </c>
      <c r="G6" s="30" t="s">
        <v>168</v>
      </c>
    </row>
    <row r="7" customFormat="false" ht="55.2" hidden="false" customHeight="false" outlineLevel="0" collapsed="false">
      <c r="A7" s="30" t="s">
        <v>193</v>
      </c>
      <c r="B7" s="30" t="s">
        <v>194</v>
      </c>
      <c r="C7" s="30" t="s">
        <v>195</v>
      </c>
      <c r="D7" s="30" t="s">
        <v>196</v>
      </c>
      <c r="E7" s="30" t="s">
        <v>197</v>
      </c>
      <c r="F7" s="30" t="s">
        <v>198</v>
      </c>
      <c r="G7" s="30" t="s">
        <v>168</v>
      </c>
    </row>
    <row r="8" customFormat="false" ht="41.75" hidden="false" customHeight="false" outlineLevel="0" collapsed="false">
      <c r="A8" s="30" t="s">
        <v>199</v>
      </c>
      <c r="B8" s="30" t="s">
        <v>149</v>
      </c>
      <c r="C8" s="30" t="s">
        <v>200</v>
      </c>
      <c r="D8" s="30" t="s">
        <v>201</v>
      </c>
      <c r="E8" s="30" t="s">
        <v>202</v>
      </c>
      <c r="F8" s="30" t="s">
        <v>192</v>
      </c>
      <c r="G8" s="30" t="s">
        <v>168</v>
      </c>
    </row>
    <row r="9" customFormat="false" ht="28.35" hidden="false" customHeight="false" outlineLevel="0" collapsed="false">
      <c r="A9" s="30" t="s">
        <v>203</v>
      </c>
      <c r="B9" s="30" t="s">
        <v>204</v>
      </c>
      <c r="C9" s="30" t="s">
        <v>205</v>
      </c>
      <c r="D9" s="30" t="s">
        <v>206</v>
      </c>
      <c r="E9" s="30" t="s">
        <v>207</v>
      </c>
      <c r="F9" s="30" t="s">
        <v>180</v>
      </c>
      <c r="G9" s="30" t="s">
        <v>181</v>
      </c>
    </row>
    <row r="10" customFormat="false" ht="41.75" hidden="false" customHeight="false" outlineLevel="0" collapsed="false">
      <c r="A10" s="30" t="s">
        <v>208</v>
      </c>
      <c r="B10" s="30" t="s">
        <v>209</v>
      </c>
      <c r="C10" s="30" t="s">
        <v>210</v>
      </c>
      <c r="D10" s="30" t="s">
        <v>211</v>
      </c>
      <c r="E10" s="30" t="s">
        <v>212</v>
      </c>
      <c r="F10" s="30" t="s">
        <v>180</v>
      </c>
      <c r="G10" s="30" t="s">
        <v>168</v>
      </c>
    </row>
    <row r="11" customFormat="false" ht="28.35" hidden="false" customHeight="false" outlineLevel="0" collapsed="false">
      <c r="A11" s="30" t="s">
        <v>213</v>
      </c>
      <c r="B11" s="30" t="s">
        <v>214</v>
      </c>
      <c r="C11" s="30" t="s">
        <v>215</v>
      </c>
      <c r="D11" s="30" t="s">
        <v>216</v>
      </c>
      <c r="E11" s="30" t="s">
        <v>217</v>
      </c>
      <c r="F11" s="30" t="s">
        <v>180</v>
      </c>
      <c r="G11" s="30" t="s">
        <v>168</v>
      </c>
    </row>
    <row r="12" customFormat="false" ht="28.35" hidden="false" customHeight="false" outlineLevel="0" collapsed="false">
      <c r="A12" s="30" t="s">
        <v>218</v>
      </c>
      <c r="B12" s="30" t="s">
        <v>219</v>
      </c>
      <c r="C12" s="30" t="s">
        <v>220</v>
      </c>
      <c r="D12" s="30" t="s">
        <v>221</v>
      </c>
      <c r="E12" s="30" t="s">
        <v>222</v>
      </c>
      <c r="F12" s="30" t="s">
        <v>180</v>
      </c>
      <c r="G12" s="30" t="s">
        <v>168</v>
      </c>
    </row>
    <row r="13" customFormat="false" ht="41.75" hidden="false" customHeight="false" outlineLevel="0" collapsed="false">
      <c r="A13" s="30" t="s">
        <v>223</v>
      </c>
      <c r="B13" s="30" t="s">
        <v>224</v>
      </c>
      <c r="C13" s="30" t="s">
        <v>225</v>
      </c>
      <c r="D13" s="30" t="s">
        <v>226</v>
      </c>
      <c r="E13" s="30" t="s">
        <v>227</v>
      </c>
      <c r="F13" s="30" t="s">
        <v>180</v>
      </c>
      <c r="G13" s="30" t="s">
        <v>168</v>
      </c>
    </row>
    <row r="14" customFormat="false" ht="41.75" hidden="false" customHeight="false" outlineLevel="0" collapsed="false">
      <c r="A14" s="30" t="s">
        <v>228</v>
      </c>
      <c r="B14" s="30" t="s">
        <v>229</v>
      </c>
      <c r="C14" s="30" t="s">
        <v>230</v>
      </c>
      <c r="D14" s="30" t="s">
        <v>231</v>
      </c>
      <c r="E14" s="30" t="s">
        <v>232</v>
      </c>
      <c r="F14" s="30" t="s">
        <v>233</v>
      </c>
      <c r="G14" s="30" t="s">
        <v>168</v>
      </c>
    </row>
    <row r="15" customFormat="false" ht="28.35" hidden="false" customHeight="false" outlineLevel="0" collapsed="false">
      <c r="A15" s="30" t="s">
        <v>234</v>
      </c>
      <c r="B15" s="30" t="s">
        <v>83</v>
      </c>
      <c r="C15" s="30" t="s">
        <v>235</v>
      </c>
      <c r="D15" s="30" t="s">
        <v>236</v>
      </c>
      <c r="E15" s="30" t="s">
        <v>237</v>
      </c>
      <c r="F15" s="30" t="s">
        <v>238</v>
      </c>
      <c r="G15" s="30" t="s">
        <v>168</v>
      </c>
    </row>
    <row r="16" customFormat="false" ht="28.35" hidden="false" customHeight="false" outlineLevel="0" collapsed="false">
      <c r="A16" s="30" t="s">
        <v>239</v>
      </c>
      <c r="B16" s="30" t="s">
        <v>85</v>
      </c>
      <c r="C16" s="30" t="s">
        <v>240</v>
      </c>
      <c r="D16" s="30" t="s">
        <v>241</v>
      </c>
      <c r="E16" s="30" t="s">
        <v>242</v>
      </c>
      <c r="F16" s="30" t="s">
        <v>243</v>
      </c>
      <c r="G16" s="30" t="s">
        <v>168</v>
      </c>
    </row>
    <row r="17" customFormat="false" ht="55.2" hidden="false" customHeight="false" outlineLevel="0" collapsed="false">
      <c r="A17" s="30" t="s">
        <v>244</v>
      </c>
      <c r="B17" s="30" t="s">
        <v>245</v>
      </c>
      <c r="C17" s="30" t="s">
        <v>246</v>
      </c>
      <c r="D17" s="30" t="s">
        <v>247</v>
      </c>
      <c r="E17" s="30" t="s">
        <v>248</v>
      </c>
      <c r="F17" s="30" t="s">
        <v>180</v>
      </c>
      <c r="G17" s="30" t="s">
        <v>168</v>
      </c>
    </row>
    <row r="18" customFormat="false" ht="28.35" hidden="false" customHeight="false" outlineLevel="0" collapsed="false">
      <c r="A18" s="30" t="s">
        <v>249</v>
      </c>
      <c r="B18" s="30" t="s">
        <v>73</v>
      </c>
      <c r="C18" s="30" t="s">
        <v>250</v>
      </c>
      <c r="D18" s="30" t="s">
        <v>251</v>
      </c>
      <c r="E18" s="30" t="s">
        <v>252</v>
      </c>
      <c r="F18" s="30" t="s">
        <v>233</v>
      </c>
      <c r="G18" s="30" t="s">
        <v>181</v>
      </c>
    </row>
    <row r="19" customFormat="false" ht="41.75" hidden="false" customHeight="false" outlineLevel="0" collapsed="false">
      <c r="A19" s="30" t="s">
        <v>253</v>
      </c>
      <c r="B19" s="30" t="s">
        <v>73</v>
      </c>
      <c r="C19" s="30" t="s">
        <v>254</v>
      </c>
      <c r="D19" s="30" t="s">
        <v>255</v>
      </c>
      <c r="E19" s="30" t="s">
        <v>256</v>
      </c>
      <c r="F19" s="30" t="s">
        <v>3</v>
      </c>
      <c r="G19" s="30" t="s">
        <v>168</v>
      </c>
    </row>
    <row r="20" customFormat="false" ht="41.75" hidden="false" customHeight="false" outlineLevel="0" collapsed="false">
      <c r="A20" s="30" t="s">
        <v>257</v>
      </c>
      <c r="B20" s="30" t="s">
        <v>258</v>
      </c>
      <c r="C20" s="30" t="s">
        <v>259</v>
      </c>
      <c r="D20" s="30" t="s">
        <v>260</v>
      </c>
      <c r="E20" s="30" t="s">
        <v>261</v>
      </c>
      <c r="F20" s="30" t="s">
        <v>262</v>
      </c>
      <c r="G20" s="30" t="s">
        <v>181</v>
      </c>
    </row>
    <row r="21" customFormat="false" ht="41.75" hidden="false" customHeight="false" outlineLevel="0" collapsed="false">
      <c r="A21" s="30" t="s">
        <v>263</v>
      </c>
      <c r="B21" s="30" t="s">
        <v>81</v>
      </c>
      <c r="C21" s="30" t="s">
        <v>264</v>
      </c>
      <c r="D21" s="30" t="s">
        <v>265</v>
      </c>
      <c r="E21" s="30" t="s">
        <v>266</v>
      </c>
      <c r="F21" s="30" t="s">
        <v>267</v>
      </c>
      <c r="G21" s="30" t="s">
        <v>181</v>
      </c>
    </row>
    <row r="22" customFormat="false" ht="28.35" hidden="false" customHeight="false" outlineLevel="0" collapsed="false">
      <c r="A22" s="30" t="s">
        <v>268</v>
      </c>
      <c r="B22" s="30" t="s">
        <v>269</v>
      </c>
      <c r="C22" s="30" t="s">
        <v>270</v>
      </c>
      <c r="D22" s="30" t="s">
        <v>271</v>
      </c>
      <c r="E22" s="30" t="s">
        <v>272</v>
      </c>
      <c r="F22" s="30" t="s">
        <v>180</v>
      </c>
      <c r="G22" s="30" t="s">
        <v>168</v>
      </c>
    </row>
    <row r="23" customFormat="false" ht="28.35" hidden="false" customHeight="false" outlineLevel="0" collapsed="false">
      <c r="A23" s="30" t="s">
        <v>273</v>
      </c>
      <c r="B23" s="30" t="s">
        <v>274</v>
      </c>
      <c r="C23" s="30" t="s">
        <v>275</v>
      </c>
      <c r="D23" s="30" t="s">
        <v>276</v>
      </c>
      <c r="E23" s="30" t="s">
        <v>277</v>
      </c>
      <c r="F23" s="30" t="s">
        <v>3</v>
      </c>
      <c r="G23" s="30" t="s">
        <v>181</v>
      </c>
    </row>
    <row r="24" customFormat="false" ht="28.35" hidden="false" customHeight="false" outlineLevel="0" collapsed="false">
      <c r="A24" s="30" t="s">
        <v>278</v>
      </c>
      <c r="B24" s="30" t="s">
        <v>279</v>
      </c>
      <c r="C24" s="30" t="s">
        <v>280</v>
      </c>
      <c r="D24" s="30" t="s">
        <v>281</v>
      </c>
      <c r="E24" s="30"/>
      <c r="F24" s="30" t="s">
        <v>262</v>
      </c>
      <c r="G24" s="30" t="s">
        <v>181</v>
      </c>
    </row>
    <row r="25" customFormat="false" ht="41.75" hidden="false" customHeight="false" outlineLevel="0" collapsed="false">
      <c r="A25" s="30" t="s">
        <v>282</v>
      </c>
      <c r="B25" s="30" t="s">
        <v>71</v>
      </c>
      <c r="C25" s="30" t="s">
        <v>283</v>
      </c>
      <c r="D25" s="30"/>
      <c r="E25" s="30"/>
      <c r="F25" s="30" t="s">
        <v>262</v>
      </c>
      <c r="G25" s="30" t="s">
        <v>181</v>
      </c>
    </row>
    <row r="26" customFormat="false" ht="41.75" hidden="false" customHeight="false" outlineLevel="0" collapsed="false">
      <c r="A26" s="30" t="s">
        <v>284</v>
      </c>
      <c r="B26" s="30" t="s">
        <v>285</v>
      </c>
      <c r="C26" s="30" t="s">
        <v>286</v>
      </c>
      <c r="D26" s="30" t="s">
        <v>287</v>
      </c>
      <c r="E26" s="30" t="s">
        <v>288</v>
      </c>
      <c r="F26" s="30" t="s">
        <v>174</v>
      </c>
      <c r="G26" s="30" t="s">
        <v>181</v>
      </c>
    </row>
    <row r="27" customFormat="false" ht="28.35" hidden="false" customHeight="false" outlineLevel="0" collapsed="false">
      <c r="A27" s="30" t="s">
        <v>289</v>
      </c>
      <c r="B27" s="30" t="s">
        <v>290</v>
      </c>
      <c r="C27" s="30" t="s">
        <v>291</v>
      </c>
      <c r="D27" s="30"/>
      <c r="E27" s="30" t="s">
        <v>292</v>
      </c>
      <c r="F27" s="30" t="s">
        <v>293</v>
      </c>
      <c r="G27" s="30" t="s">
        <v>181</v>
      </c>
    </row>
    <row r="28" customFormat="false" ht="41.75" hidden="false" customHeight="false" outlineLevel="0" collapsed="false">
      <c r="A28" s="30" t="s">
        <v>294</v>
      </c>
      <c r="B28" s="30" t="s">
        <v>295</v>
      </c>
      <c r="C28" s="30" t="s">
        <v>296</v>
      </c>
      <c r="D28" s="30"/>
      <c r="E28" s="30" t="s">
        <v>297</v>
      </c>
      <c r="F28" s="30" t="s">
        <v>3</v>
      </c>
      <c r="G28" s="30" t="s">
        <v>181</v>
      </c>
    </row>
  </sheetData>
  <autoFilter ref="A1:H28"/>
  <dataValidations count="1">
    <dataValidation allowBlank="true" errorStyle="stop" operator="between" showDropDown="false" showErrorMessage="false" showInputMessage="false" sqref="G2:G28" type="list">
      <formula1>"Open,Assumed,Answered,Closed"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&amp;CSFH Development - Preliminary Estimate -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1" min="10" style="0" width="10"/>
    <col collapsed="false" customWidth="true" hidden="false" outlineLevel="0" max="14" min="12" style="0" width="9"/>
    <col collapsed="false" customWidth="true" hidden="false" outlineLevel="0" max="15" min="15" style="0" width="11"/>
    <col collapsed="false" customWidth="true" hidden="false" outlineLevel="0" max="16" min="16" style="0" width="6"/>
    <col collapsed="false" customWidth="true" hidden="false" outlineLevel="0" max="17" min="17" style="0" width="8"/>
    <col collapsed="false" customWidth="true" hidden="false" outlineLevel="0" max="18" min="18" style="0" width="11"/>
    <col collapsed="false" customWidth="true" hidden="false" outlineLevel="0" max="19" min="19" style="0" width="8"/>
    <col collapsed="false" customWidth="true" hidden="false" outlineLevel="0" max="20" min="20" style="0" width="52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46"/>
  </cols>
  <sheetData>
    <row r="1" customFormat="false" ht="30" hidden="false" customHeight="true" outlineLevel="0" collapsed="false">
      <c r="A1" s="29" t="s">
        <v>156</v>
      </c>
      <c r="B1" s="29" t="s">
        <v>298</v>
      </c>
      <c r="C1" s="29" t="s">
        <v>53</v>
      </c>
      <c r="D1" s="29" t="s">
        <v>299</v>
      </c>
      <c r="E1" s="29" t="s">
        <v>300</v>
      </c>
      <c r="F1" s="29" t="s">
        <v>98</v>
      </c>
      <c r="G1" s="29" t="s">
        <v>5</v>
      </c>
      <c r="H1" s="29" t="s">
        <v>301</v>
      </c>
      <c r="I1" s="29" t="s">
        <v>302</v>
      </c>
      <c r="J1" s="29" t="s">
        <v>303</v>
      </c>
      <c r="K1" s="29" t="s">
        <v>304</v>
      </c>
      <c r="L1" s="29" t="s">
        <v>305</v>
      </c>
      <c r="M1" s="29" t="s">
        <v>306</v>
      </c>
      <c r="N1" s="29" t="s">
        <v>307</v>
      </c>
      <c r="O1" s="29" t="s">
        <v>308</v>
      </c>
      <c r="P1" s="29" t="s">
        <v>309</v>
      </c>
      <c r="Q1" s="29" t="s">
        <v>310</v>
      </c>
      <c r="R1" s="29" t="s">
        <v>311</v>
      </c>
      <c r="S1" s="29" t="s">
        <v>312</v>
      </c>
      <c r="T1" s="29" t="s">
        <v>313</v>
      </c>
      <c r="U1" s="29" t="s">
        <v>314</v>
      </c>
      <c r="V1" s="29" t="s">
        <v>315</v>
      </c>
      <c r="W1" s="29" t="s">
        <v>316</v>
      </c>
    </row>
    <row r="2" customFormat="false" ht="41.75" hidden="false" customHeight="false" outlineLevel="0" collapsed="false">
      <c r="A2" s="25" t="s">
        <v>317</v>
      </c>
      <c r="B2" s="25" t="s">
        <v>60</v>
      </c>
      <c r="C2" s="25" t="s">
        <v>61</v>
      </c>
      <c r="D2" s="32" t="s">
        <v>318</v>
      </c>
      <c r="E2" s="32" t="s">
        <v>319</v>
      </c>
      <c r="F2" s="25" t="s">
        <v>142</v>
      </c>
      <c r="G2" s="32" t="s">
        <v>1</v>
      </c>
      <c r="H2" s="25" t="s">
        <v>320</v>
      </c>
      <c r="I2" s="33" t="n">
        <v>1</v>
      </c>
      <c r="J2" s="34"/>
      <c r="K2" s="34"/>
      <c r="L2" s="34"/>
      <c r="M2" s="34"/>
      <c r="N2" s="34"/>
      <c r="O2" s="35" t="n">
        <f aca="false">IF(I2="",1,I2)*IF(J2="",1,J2)*IF(K2="",1,K2)*IF(L2="",1,L2)*IF(M2="",1,M2)-N(N2)</f>
        <v>1</v>
      </c>
      <c r="P2" s="17" t="s">
        <v>321</v>
      </c>
      <c r="Q2" s="36" t="n">
        <v>0</v>
      </c>
      <c r="R2" s="35" t="n">
        <f aca="false">IF(S2="Y",ROUNDUP(O2*(1+Q2),0),O2*(1+Q2))</f>
        <v>1</v>
      </c>
      <c r="S2" s="37" t="s">
        <v>322</v>
      </c>
      <c r="T2" s="38"/>
      <c r="U2" s="17" t="s">
        <v>320</v>
      </c>
      <c r="V2" s="17" t="s">
        <v>323</v>
      </c>
      <c r="W2" s="38" t="s">
        <v>324</v>
      </c>
    </row>
    <row r="3" customFormat="false" ht="23.85" hidden="false" customHeight="false" outlineLevel="0" collapsed="false">
      <c r="A3" s="25" t="s">
        <v>325</v>
      </c>
      <c r="B3" s="25" t="s">
        <v>60</v>
      </c>
      <c r="C3" s="25" t="s">
        <v>61</v>
      </c>
      <c r="D3" s="32" t="s">
        <v>326</v>
      </c>
      <c r="E3" s="32" t="s">
        <v>327</v>
      </c>
      <c r="F3" s="25" t="s">
        <v>142</v>
      </c>
      <c r="G3" s="32" t="s">
        <v>1</v>
      </c>
      <c r="H3" s="25" t="s">
        <v>320</v>
      </c>
      <c r="I3" s="33" t="n">
        <v>1</v>
      </c>
      <c r="J3" s="34"/>
      <c r="K3" s="34"/>
      <c r="L3" s="34"/>
      <c r="M3" s="34"/>
      <c r="N3" s="34"/>
      <c r="O3" s="35" t="n">
        <f aca="false">IF(I3="",1,I3)*IF(J3="",1,J3)*IF(K3="",1,K3)*IF(L3="",1,L3)*IF(M3="",1,M3)-N(N3)</f>
        <v>1</v>
      </c>
      <c r="P3" s="17" t="s">
        <v>321</v>
      </c>
      <c r="Q3" s="36" t="n">
        <v>0</v>
      </c>
      <c r="R3" s="35" t="n">
        <f aca="false">IF(S3="Y",ROUNDUP(O3*(1+Q3),0),O3*(1+Q3))</f>
        <v>1</v>
      </c>
      <c r="S3" s="37" t="s">
        <v>322</v>
      </c>
      <c r="T3" s="38"/>
      <c r="U3" s="17" t="s">
        <v>320</v>
      </c>
      <c r="V3" s="17" t="s">
        <v>323</v>
      </c>
      <c r="W3" s="38" t="s">
        <v>328</v>
      </c>
    </row>
    <row r="4" customFormat="false" ht="23.85" hidden="false" customHeight="false" outlineLevel="0" collapsed="false">
      <c r="A4" s="25" t="s">
        <v>329</v>
      </c>
      <c r="B4" s="25" t="s">
        <v>60</v>
      </c>
      <c r="C4" s="25" t="s">
        <v>61</v>
      </c>
      <c r="D4" s="32" t="s">
        <v>330</v>
      </c>
      <c r="E4" s="32" t="s">
        <v>331</v>
      </c>
      <c r="F4" s="25" t="s">
        <v>142</v>
      </c>
      <c r="G4" s="32" t="s">
        <v>164</v>
      </c>
      <c r="H4" s="25" t="s">
        <v>320</v>
      </c>
      <c r="I4" s="33" t="n">
        <v>1</v>
      </c>
      <c r="J4" s="34"/>
      <c r="K4" s="34"/>
      <c r="L4" s="34"/>
      <c r="M4" s="34"/>
      <c r="N4" s="34"/>
      <c r="O4" s="35" t="n">
        <f aca="false">IF(I4="",1,I4)*IF(J4="",1,J4)*IF(K4="",1,K4)*IF(L4="",1,L4)*IF(M4="",1,M4)-N(N4)</f>
        <v>1</v>
      </c>
      <c r="P4" s="17" t="s">
        <v>321</v>
      </c>
      <c r="Q4" s="36" t="n">
        <v>0</v>
      </c>
      <c r="R4" s="35" t="n">
        <f aca="false">IF(S4="Y",ROUNDUP(O4*(1+Q4),0),O4*(1+Q4))</f>
        <v>1</v>
      </c>
      <c r="S4" s="37" t="s">
        <v>322</v>
      </c>
      <c r="T4" s="38"/>
      <c r="U4" s="17" t="s">
        <v>320</v>
      </c>
      <c r="V4" s="17" t="s">
        <v>323</v>
      </c>
      <c r="W4" s="38" t="s">
        <v>182</v>
      </c>
    </row>
    <row r="5" customFormat="false" ht="15" hidden="false" customHeight="false" outlineLevel="0" collapsed="false">
      <c r="A5" s="25" t="s">
        <v>332</v>
      </c>
      <c r="B5" s="25" t="s">
        <v>60</v>
      </c>
      <c r="C5" s="25" t="s">
        <v>61</v>
      </c>
      <c r="D5" s="32" t="s">
        <v>333</v>
      </c>
      <c r="E5" s="32"/>
      <c r="F5" s="25" t="s">
        <v>115</v>
      </c>
      <c r="G5" s="32" t="s">
        <v>164</v>
      </c>
      <c r="H5" s="25" t="s">
        <v>320</v>
      </c>
      <c r="I5" s="33" t="n">
        <v>1</v>
      </c>
      <c r="J5" s="34"/>
      <c r="K5" s="34"/>
      <c r="L5" s="34"/>
      <c r="M5" s="34"/>
      <c r="N5" s="34"/>
      <c r="O5" s="35" t="n">
        <f aca="false">IF(I5="",1,I5)*IF(J5="",1,J5)*IF(K5="",1,K5)*IF(L5="",1,L5)*IF(M5="",1,M5)-N(N5)</f>
        <v>1</v>
      </c>
      <c r="P5" s="17" t="s">
        <v>321</v>
      </c>
      <c r="Q5" s="36" t="n">
        <v>0</v>
      </c>
      <c r="R5" s="35" t="n">
        <f aca="false">IF(S5="Y",ROUNDUP(O5*(1+Q5),0),O5*(1+Q5))</f>
        <v>1</v>
      </c>
      <c r="S5" s="37" t="s">
        <v>322</v>
      </c>
      <c r="T5" s="38"/>
      <c r="U5" s="17" t="s">
        <v>320</v>
      </c>
      <c r="V5" s="17" t="s">
        <v>323</v>
      </c>
      <c r="W5" s="38"/>
    </row>
    <row r="6" customFormat="false" ht="15" hidden="false" customHeight="false" outlineLevel="0" collapsed="false">
      <c r="A6" s="25" t="s">
        <v>334</v>
      </c>
      <c r="B6" s="25" t="s">
        <v>60</v>
      </c>
      <c r="C6" s="25" t="s">
        <v>61</v>
      </c>
      <c r="D6" s="32" t="s">
        <v>335</v>
      </c>
      <c r="E6" s="32"/>
      <c r="F6" s="25" t="s">
        <v>142</v>
      </c>
      <c r="G6" s="32" t="s">
        <v>164</v>
      </c>
      <c r="H6" s="25" t="s">
        <v>320</v>
      </c>
      <c r="I6" s="33" t="n">
        <v>1</v>
      </c>
      <c r="J6" s="34"/>
      <c r="K6" s="34"/>
      <c r="L6" s="34"/>
      <c r="M6" s="34"/>
      <c r="N6" s="34"/>
      <c r="O6" s="35" t="n">
        <f aca="false">IF(I6="",1,I6)*IF(J6="",1,J6)*IF(K6="",1,K6)*IF(L6="",1,L6)*IF(M6="",1,M6)-N(N6)</f>
        <v>1</v>
      </c>
      <c r="P6" s="17" t="s">
        <v>321</v>
      </c>
      <c r="Q6" s="36" t="n">
        <v>0</v>
      </c>
      <c r="R6" s="35" t="n">
        <f aca="false">IF(S6="Y",ROUNDUP(O6*(1+Q6),0),O6*(1+Q6))</f>
        <v>1</v>
      </c>
      <c r="S6" s="37" t="s">
        <v>322</v>
      </c>
      <c r="T6" s="38"/>
      <c r="U6" s="17" t="s">
        <v>320</v>
      </c>
      <c r="V6" s="17" t="s">
        <v>323</v>
      </c>
      <c r="W6" s="38"/>
    </row>
    <row r="7" customFormat="false" ht="15" hidden="false" customHeight="false" outlineLevel="0" collapsed="false">
      <c r="A7" s="25" t="s">
        <v>336</v>
      </c>
      <c r="B7" s="25" t="s">
        <v>60</v>
      </c>
      <c r="C7" s="25" t="s">
        <v>61</v>
      </c>
      <c r="D7" s="32" t="s">
        <v>337</v>
      </c>
      <c r="E7" s="32"/>
      <c r="F7" s="25" t="s">
        <v>142</v>
      </c>
      <c r="G7" s="32" t="s">
        <v>164</v>
      </c>
      <c r="H7" s="25" t="s">
        <v>320</v>
      </c>
      <c r="I7" s="33" t="n">
        <v>1</v>
      </c>
      <c r="J7" s="34"/>
      <c r="K7" s="34"/>
      <c r="L7" s="34"/>
      <c r="M7" s="34"/>
      <c r="N7" s="34"/>
      <c r="O7" s="35" t="n">
        <f aca="false">IF(I7="",1,I7)*IF(J7="",1,J7)*IF(K7="",1,K7)*IF(L7="",1,L7)*IF(M7="",1,M7)-N(N7)</f>
        <v>1</v>
      </c>
      <c r="P7" s="17" t="s">
        <v>321</v>
      </c>
      <c r="Q7" s="36" t="n">
        <v>0</v>
      </c>
      <c r="R7" s="35" t="n">
        <f aca="false">IF(S7="Y",ROUNDUP(O7*(1+Q7),0),O7*(1+Q7))</f>
        <v>1</v>
      </c>
      <c r="S7" s="37" t="s">
        <v>322</v>
      </c>
      <c r="T7" s="38"/>
      <c r="U7" s="17" t="s">
        <v>320</v>
      </c>
      <c r="V7" s="17" t="s">
        <v>323</v>
      </c>
      <c r="W7" s="38"/>
    </row>
    <row r="8" customFormat="false" ht="15" hidden="false" customHeight="false" outlineLevel="0" collapsed="false">
      <c r="A8" s="25" t="s">
        <v>338</v>
      </c>
      <c r="B8" s="25" t="s">
        <v>60</v>
      </c>
      <c r="C8" s="25" t="s">
        <v>61</v>
      </c>
      <c r="D8" s="32" t="s">
        <v>339</v>
      </c>
      <c r="E8" s="32"/>
      <c r="F8" s="25" t="s">
        <v>142</v>
      </c>
      <c r="G8" s="32" t="s">
        <v>164</v>
      </c>
      <c r="H8" s="25" t="s">
        <v>302</v>
      </c>
      <c r="I8" s="33" t="n">
        <v>5</v>
      </c>
      <c r="J8" s="34"/>
      <c r="K8" s="34"/>
      <c r="L8" s="34"/>
      <c r="M8" s="34"/>
      <c r="N8" s="34"/>
      <c r="O8" s="35" t="n">
        <f aca="false">IF(I8="",1,I8)*IF(J8="",1,J8)*IF(K8="",1,K8)*IF(L8="",1,L8)*IF(M8="",1,M8)-N(N8)</f>
        <v>5</v>
      </c>
      <c r="P8" s="17" t="s">
        <v>340</v>
      </c>
      <c r="Q8" s="36" t="n">
        <v>0</v>
      </c>
      <c r="R8" s="35" t="n">
        <f aca="false">IF(S8="Y",ROUNDUP(O8*(1+Q8),0),O8*(1+Q8))</f>
        <v>5</v>
      </c>
      <c r="S8" s="37" t="s">
        <v>322</v>
      </c>
      <c r="T8" s="38" t="s">
        <v>341</v>
      </c>
      <c r="U8" s="17" t="s">
        <v>181</v>
      </c>
      <c r="V8" s="17" t="s">
        <v>323</v>
      </c>
      <c r="W8" s="38" t="s">
        <v>342</v>
      </c>
    </row>
    <row r="9" customFormat="false" ht="15" hidden="false" customHeight="false" outlineLevel="0" collapsed="false">
      <c r="A9" s="25" t="s">
        <v>343</v>
      </c>
      <c r="B9" s="25" t="s">
        <v>60</v>
      </c>
      <c r="C9" s="25" t="s">
        <v>61</v>
      </c>
      <c r="D9" s="32" t="s">
        <v>344</v>
      </c>
      <c r="E9" s="32"/>
      <c r="F9" s="25" t="s">
        <v>142</v>
      </c>
      <c r="G9" s="32" t="s">
        <v>164</v>
      </c>
      <c r="H9" s="25" t="s">
        <v>302</v>
      </c>
      <c r="I9" s="33" t="n">
        <v>5</v>
      </c>
      <c r="J9" s="34"/>
      <c r="K9" s="34"/>
      <c r="L9" s="34"/>
      <c r="M9" s="34"/>
      <c r="N9" s="34"/>
      <c r="O9" s="35" t="n">
        <f aca="false">IF(I9="",1,I9)*IF(J9="",1,J9)*IF(K9="",1,K9)*IF(L9="",1,L9)*IF(M9="",1,M9)-N(N9)</f>
        <v>5</v>
      </c>
      <c r="P9" s="17" t="s">
        <v>345</v>
      </c>
      <c r="Q9" s="36" t="n">
        <v>0</v>
      </c>
      <c r="R9" s="35" t="n">
        <f aca="false">IF(S9="Y",ROUNDUP(O9*(1+Q9),0),O9*(1+Q9))</f>
        <v>5</v>
      </c>
      <c r="S9" s="37" t="s">
        <v>322</v>
      </c>
      <c r="T9" s="38" t="s">
        <v>346</v>
      </c>
      <c r="U9" s="17" t="s">
        <v>181</v>
      </c>
      <c r="V9" s="17" t="s">
        <v>323</v>
      </c>
      <c r="W9" s="38"/>
    </row>
    <row r="10" customFormat="false" ht="15" hidden="false" customHeight="false" outlineLevel="0" collapsed="false">
      <c r="A10" s="25" t="s">
        <v>347</v>
      </c>
      <c r="B10" s="25" t="s">
        <v>60</v>
      </c>
      <c r="C10" s="25" t="s">
        <v>61</v>
      </c>
      <c r="D10" s="32" t="s">
        <v>348</v>
      </c>
      <c r="E10" s="32"/>
      <c r="F10" s="25" t="s">
        <v>142</v>
      </c>
      <c r="G10" s="32" t="s">
        <v>1</v>
      </c>
      <c r="H10" s="25" t="s">
        <v>320</v>
      </c>
      <c r="I10" s="33" t="n">
        <v>1</v>
      </c>
      <c r="J10" s="34"/>
      <c r="K10" s="34"/>
      <c r="L10" s="34"/>
      <c r="M10" s="34"/>
      <c r="N10" s="34"/>
      <c r="O10" s="35" t="n">
        <f aca="false">IF(I10="",1,I10)*IF(J10="",1,J10)*IF(K10="",1,K10)*IF(L10="",1,L10)*IF(M10="",1,M10)-N(N10)</f>
        <v>1</v>
      </c>
      <c r="P10" s="17" t="s">
        <v>321</v>
      </c>
      <c r="Q10" s="36" t="n">
        <v>0</v>
      </c>
      <c r="R10" s="35" t="n">
        <f aca="false">IF(S10="Y",ROUNDUP(O10*(1+Q10),0),O10*(1+Q10))</f>
        <v>1</v>
      </c>
      <c r="S10" s="37" t="s">
        <v>322</v>
      </c>
      <c r="T10" s="38"/>
      <c r="U10" s="17" t="s">
        <v>320</v>
      </c>
      <c r="V10" s="17" t="s">
        <v>323</v>
      </c>
      <c r="W10" s="38"/>
    </row>
    <row r="11" customFormat="false" ht="15" hidden="false" customHeight="false" outlineLevel="0" collapsed="false">
      <c r="A11" s="25" t="s">
        <v>349</v>
      </c>
      <c r="B11" s="25" t="s">
        <v>60</v>
      </c>
      <c r="C11" s="25" t="s">
        <v>61</v>
      </c>
      <c r="D11" s="32" t="s">
        <v>350</v>
      </c>
      <c r="E11" s="32"/>
      <c r="F11" s="25" t="s">
        <v>142</v>
      </c>
      <c r="G11" s="32" t="s">
        <v>1</v>
      </c>
      <c r="H11" s="25" t="s">
        <v>302</v>
      </c>
      <c r="I11" s="33" t="n">
        <v>20</v>
      </c>
      <c r="J11" s="34"/>
      <c r="K11" s="34"/>
      <c r="L11" s="34"/>
      <c r="M11" s="34"/>
      <c r="N11" s="34"/>
      <c r="O11" s="35" t="n">
        <f aca="false">IF(I11="",1,I11)*IF(J11="",1,J11)*IF(K11="",1,K11)*IF(L11="",1,L11)*IF(M11="",1,M11)-N(N11)</f>
        <v>20</v>
      </c>
      <c r="P11" s="17" t="s">
        <v>351</v>
      </c>
      <c r="Q11" s="36" t="n">
        <v>0</v>
      </c>
      <c r="R11" s="35" t="n">
        <f aca="false">IF(S11="Y",ROUNDUP(O11*(1+Q11),0),O11*(1+Q11))</f>
        <v>20</v>
      </c>
      <c r="S11" s="37" t="s">
        <v>322</v>
      </c>
      <c r="T11" s="38" t="s">
        <v>352</v>
      </c>
      <c r="U11" s="17" t="s">
        <v>181</v>
      </c>
      <c r="V11" s="17" t="s">
        <v>323</v>
      </c>
      <c r="W11" s="38"/>
    </row>
    <row r="12" customFormat="false" ht="15" hidden="false" customHeight="false" outlineLevel="0" collapsed="false">
      <c r="A12" s="25" t="s">
        <v>353</v>
      </c>
      <c r="B12" s="25" t="s">
        <v>60</v>
      </c>
      <c r="C12" s="25" t="s">
        <v>61</v>
      </c>
      <c r="D12" s="32" t="s">
        <v>354</v>
      </c>
      <c r="E12" s="32"/>
      <c r="F12" s="25" t="s">
        <v>122</v>
      </c>
      <c r="G12" s="32" t="s">
        <v>355</v>
      </c>
      <c r="H12" s="25" t="s">
        <v>356</v>
      </c>
      <c r="I12" s="33" t="n">
        <v>1</v>
      </c>
      <c r="J12" s="33" t="n">
        <v>21</v>
      </c>
      <c r="K12" s="33" t="n">
        <v>94.0833333333333</v>
      </c>
      <c r="L12" s="34"/>
      <c r="M12" s="34"/>
      <c r="N12" s="34"/>
      <c r="O12" s="35" t="n">
        <f aca="false">IF(I12="",1,I12)*IF(J12="",1,J12)*IF(K12="",1,K12)*IF(L12="",1,L12)*IF(M12="",1,M12)-N(N12)</f>
        <v>1975.75</v>
      </c>
      <c r="P12" s="17" t="s">
        <v>357</v>
      </c>
      <c r="Q12" s="36" t="n">
        <v>0</v>
      </c>
      <c r="R12" s="35" t="n">
        <f aca="false">IF(S12="Y",ROUNDUP(O12*(1+Q12),0),O12*(1+Q12))</f>
        <v>1975.75</v>
      </c>
      <c r="S12" s="37" t="s">
        <v>322</v>
      </c>
      <c r="T12" s="38" t="s">
        <v>358</v>
      </c>
      <c r="U12" s="17" t="s">
        <v>359</v>
      </c>
      <c r="V12" s="17" t="s">
        <v>360</v>
      </c>
      <c r="W12" s="38"/>
    </row>
    <row r="13" customFormat="false" ht="15" hidden="false" customHeight="false" outlineLevel="0" collapsed="false">
      <c r="A13" s="25" t="s">
        <v>361</v>
      </c>
      <c r="B13" s="25" t="s">
        <v>60</v>
      </c>
      <c r="C13" s="25" t="s">
        <v>61</v>
      </c>
      <c r="D13" s="32" t="s">
        <v>362</v>
      </c>
      <c r="E13" s="32"/>
      <c r="F13" s="25" t="s">
        <v>142</v>
      </c>
      <c r="G13" s="32" t="s">
        <v>1</v>
      </c>
      <c r="H13" s="25" t="s">
        <v>320</v>
      </c>
      <c r="I13" s="33" t="n">
        <v>1</v>
      </c>
      <c r="J13" s="34"/>
      <c r="K13" s="34"/>
      <c r="L13" s="34"/>
      <c r="M13" s="34"/>
      <c r="N13" s="34"/>
      <c r="O13" s="35" t="n">
        <f aca="false">IF(I13="",1,I13)*IF(J13="",1,J13)*IF(K13="",1,K13)*IF(L13="",1,L13)*IF(M13="",1,M13)-N(N13)</f>
        <v>1</v>
      </c>
      <c r="P13" s="17" t="s">
        <v>321</v>
      </c>
      <c r="Q13" s="36" t="n">
        <v>0</v>
      </c>
      <c r="R13" s="35" t="n">
        <f aca="false">IF(S13="Y",ROUNDUP(O13*(1+Q13),0),O13*(1+Q13))</f>
        <v>1</v>
      </c>
      <c r="S13" s="37" t="s">
        <v>322</v>
      </c>
      <c r="T13" s="38"/>
      <c r="U13" s="17" t="s">
        <v>320</v>
      </c>
      <c r="V13" s="17" t="s">
        <v>323</v>
      </c>
      <c r="W13" s="38"/>
    </row>
    <row r="14" customFormat="false" ht="23.85" hidden="false" customHeight="false" outlineLevel="0" collapsed="false">
      <c r="A14" s="25" t="s">
        <v>363</v>
      </c>
      <c r="B14" s="25" t="s">
        <v>60</v>
      </c>
      <c r="C14" s="25" t="s">
        <v>61</v>
      </c>
      <c r="D14" s="32" t="s">
        <v>364</v>
      </c>
      <c r="E14" s="32" t="s">
        <v>365</v>
      </c>
      <c r="F14" s="25" t="s">
        <v>139</v>
      </c>
      <c r="G14" s="32" t="s">
        <v>366</v>
      </c>
      <c r="H14" s="25" t="s">
        <v>356</v>
      </c>
      <c r="I14" s="34"/>
      <c r="J14" s="33" t="n">
        <v>21</v>
      </c>
      <c r="K14" s="33" t="n">
        <v>64.1666666666667</v>
      </c>
      <c r="L14" s="34"/>
      <c r="M14" s="34"/>
      <c r="N14" s="34"/>
      <c r="O14" s="35" t="n">
        <f aca="false">IF(I14="",1,I14)*IF(J14="",1,J14)*IF(K14="",1,K14)*IF(L14="",1,L14)*IF(M14="",1,M14)-N(N14)</f>
        <v>1347.5</v>
      </c>
      <c r="P14" s="17" t="s">
        <v>357</v>
      </c>
      <c r="Q14" s="36" t="n">
        <v>0.1</v>
      </c>
      <c r="R14" s="35" t="n">
        <f aca="false">IF(S14="Y",ROUNDUP(O14*(1+Q14),0),O14*(1+Q14))</f>
        <v>1482.25</v>
      </c>
      <c r="S14" s="37" t="s">
        <v>322</v>
      </c>
      <c r="T14" s="38" t="s">
        <v>367</v>
      </c>
      <c r="U14" s="17" t="s">
        <v>359</v>
      </c>
      <c r="V14" s="17" t="s">
        <v>360</v>
      </c>
      <c r="W14" s="38" t="s">
        <v>368</v>
      </c>
    </row>
    <row r="15" customFormat="false" ht="23.85" hidden="false" customHeight="false" outlineLevel="0" collapsed="false">
      <c r="A15" s="25" t="s">
        <v>369</v>
      </c>
      <c r="B15" s="25" t="s">
        <v>60</v>
      </c>
      <c r="C15" s="25" t="s">
        <v>61</v>
      </c>
      <c r="D15" s="32" t="s">
        <v>370</v>
      </c>
      <c r="E15" s="32" t="s">
        <v>371</v>
      </c>
      <c r="F15" s="25" t="s">
        <v>142</v>
      </c>
      <c r="G15" s="32" t="s">
        <v>372</v>
      </c>
      <c r="H15" s="25" t="s">
        <v>320</v>
      </c>
      <c r="I15" s="33" t="n">
        <v>1</v>
      </c>
      <c r="J15" s="34"/>
      <c r="K15" s="34"/>
      <c r="L15" s="34"/>
      <c r="M15" s="34"/>
      <c r="N15" s="34"/>
      <c r="O15" s="35" t="n">
        <f aca="false">IF(I15="",1,I15)*IF(J15="",1,J15)*IF(K15="",1,K15)*IF(L15="",1,L15)*IF(M15="",1,M15)-N(N15)</f>
        <v>1</v>
      </c>
      <c r="P15" s="17" t="s">
        <v>321</v>
      </c>
      <c r="Q15" s="36" t="n">
        <v>0</v>
      </c>
      <c r="R15" s="35" t="n">
        <f aca="false">IF(S15="Y",ROUNDUP(O15*(1+Q15),0),O15*(1+Q15))</f>
        <v>1</v>
      </c>
      <c r="S15" s="37" t="s">
        <v>322</v>
      </c>
      <c r="T15" s="38"/>
      <c r="U15" s="17" t="s">
        <v>320</v>
      </c>
      <c r="V15" s="17" t="s">
        <v>323</v>
      </c>
      <c r="W15" s="38"/>
    </row>
    <row r="16" customFormat="false" ht="15" hidden="false" customHeight="false" outlineLevel="0" collapsed="false">
      <c r="A16" s="25" t="s">
        <v>373</v>
      </c>
      <c r="B16" s="25" t="s">
        <v>60</v>
      </c>
      <c r="C16" s="25" t="s">
        <v>61</v>
      </c>
      <c r="D16" s="32" t="s">
        <v>374</v>
      </c>
      <c r="E16" s="32"/>
      <c r="F16" s="25" t="s">
        <v>142</v>
      </c>
      <c r="G16" s="32" t="s">
        <v>1</v>
      </c>
      <c r="H16" s="25" t="s">
        <v>320</v>
      </c>
      <c r="I16" s="33" t="n">
        <v>1</v>
      </c>
      <c r="J16" s="34"/>
      <c r="K16" s="34"/>
      <c r="L16" s="34"/>
      <c r="M16" s="34"/>
      <c r="N16" s="34"/>
      <c r="O16" s="35" t="n">
        <f aca="false">IF(I16="",1,I16)*IF(J16="",1,J16)*IF(K16="",1,K16)*IF(L16="",1,L16)*IF(M16="",1,M16)-N(N16)</f>
        <v>1</v>
      </c>
      <c r="P16" s="17" t="s">
        <v>321</v>
      </c>
      <c r="Q16" s="36" t="n">
        <v>0</v>
      </c>
      <c r="R16" s="35" t="n">
        <f aca="false">IF(S16="Y",ROUNDUP(O16*(1+Q16),0),O16*(1+Q16))</f>
        <v>1</v>
      </c>
      <c r="S16" s="37" t="s">
        <v>322</v>
      </c>
      <c r="T16" s="38"/>
      <c r="U16" s="17" t="s">
        <v>320</v>
      </c>
      <c r="V16" s="17" t="s">
        <v>323</v>
      </c>
      <c r="W16" s="38"/>
    </row>
    <row r="17" customFormat="false" ht="15" hidden="false" customHeight="false" outlineLevel="0" collapsed="false">
      <c r="A17" s="25" t="s">
        <v>375</v>
      </c>
      <c r="B17" s="25" t="s">
        <v>60</v>
      </c>
      <c r="C17" s="25" t="s">
        <v>61</v>
      </c>
      <c r="D17" s="32" t="s">
        <v>376</v>
      </c>
      <c r="E17" s="32"/>
      <c r="F17" s="25" t="s">
        <v>142</v>
      </c>
      <c r="G17" s="32" t="s">
        <v>1</v>
      </c>
      <c r="H17" s="25" t="s">
        <v>320</v>
      </c>
      <c r="I17" s="33" t="n">
        <v>1</v>
      </c>
      <c r="J17" s="34"/>
      <c r="K17" s="34"/>
      <c r="L17" s="34"/>
      <c r="M17" s="34"/>
      <c r="N17" s="34"/>
      <c r="O17" s="35" t="n">
        <f aca="false">IF(I17="",1,I17)*IF(J17="",1,J17)*IF(K17="",1,K17)*IF(L17="",1,L17)*IF(M17="",1,M17)-N(N17)</f>
        <v>1</v>
      </c>
      <c r="P17" s="17" t="s">
        <v>321</v>
      </c>
      <c r="Q17" s="36" t="n">
        <v>0</v>
      </c>
      <c r="R17" s="35" t="n">
        <f aca="false">IF(S17="Y",ROUNDUP(O17*(1+Q17),0),O17*(1+Q17))</f>
        <v>1</v>
      </c>
      <c r="S17" s="37" t="s">
        <v>322</v>
      </c>
      <c r="T17" s="38"/>
      <c r="U17" s="17" t="s">
        <v>320</v>
      </c>
      <c r="V17" s="17" t="s">
        <v>323</v>
      </c>
      <c r="W17" s="38" t="s">
        <v>377</v>
      </c>
    </row>
    <row r="18" customFormat="false" ht="15" hidden="false" customHeight="false" outlineLevel="0" collapsed="false">
      <c r="A18" s="25" t="s">
        <v>378</v>
      </c>
      <c r="B18" s="25" t="s">
        <v>62</v>
      </c>
      <c r="C18" s="25" t="s">
        <v>63</v>
      </c>
      <c r="D18" s="32" t="s">
        <v>379</v>
      </c>
      <c r="E18" s="32"/>
      <c r="F18" s="25" t="s">
        <v>115</v>
      </c>
      <c r="G18" s="32" t="s">
        <v>164</v>
      </c>
      <c r="H18" s="25" t="s">
        <v>320</v>
      </c>
      <c r="I18" s="33" t="n">
        <v>1</v>
      </c>
      <c r="J18" s="34"/>
      <c r="K18" s="34"/>
      <c r="L18" s="34"/>
      <c r="M18" s="34"/>
      <c r="N18" s="34"/>
      <c r="O18" s="35" t="n">
        <f aca="false">IF(I18="",1,I18)*IF(J18="",1,J18)*IF(K18="",1,K18)*IF(L18="",1,L18)*IF(M18="",1,M18)-N(N18)</f>
        <v>1</v>
      </c>
      <c r="P18" s="17" t="s">
        <v>321</v>
      </c>
      <c r="Q18" s="36" t="n">
        <v>0</v>
      </c>
      <c r="R18" s="35" t="n">
        <f aca="false">IF(S18="Y",ROUNDUP(O18*(1+Q18),0),O18*(1+Q18))</f>
        <v>1</v>
      </c>
      <c r="S18" s="37" t="s">
        <v>322</v>
      </c>
      <c r="T18" s="38"/>
      <c r="U18" s="17" t="s">
        <v>320</v>
      </c>
      <c r="V18" s="17" t="s">
        <v>380</v>
      </c>
      <c r="W18" s="38" t="s">
        <v>381</v>
      </c>
    </row>
    <row r="19" customFormat="false" ht="28.35" hidden="false" customHeight="false" outlineLevel="0" collapsed="false">
      <c r="A19" s="25" t="s">
        <v>382</v>
      </c>
      <c r="B19" s="25" t="s">
        <v>62</v>
      </c>
      <c r="C19" s="25" t="s">
        <v>63</v>
      </c>
      <c r="D19" s="32" t="s">
        <v>383</v>
      </c>
      <c r="E19" s="32" t="s">
        <v>384</v>
      </c>
      <c r="F19" s="25" t="s">
        <v>122</v>
      </c>
      <c r="G19" s="32" t="s">
        <v>385</v>
      </c>
      <c r="H19" s="25" t="s">
        <v>386</v>
      </c>
      <c r="I19" s="34"/>
      <c r="J19" s="33" t="n">
        <v>31</v>
      </c>
      <c r="K19" s="33" t="n">
        <v>104.083333333333</v>
      </c>
      <c r="L19" s="33" t="n">
        <v>1</v>
      </c>
      <c r="M19" s="33" t="n">
        <v>0.037037037037037</v>
      </c>
      <c r="N19" s="34"/>
      <c r="O19" s="35" t="n">
        <f aca="false">IF(I19="",1,I19)*IF(J19="",1,J19)*IF(K19="",1,K19)*IF(L19="",1,L19)*IF(M19="",1,M19)-N(N19)</f>
        <v>119.503086419753</v>
      </c>
      <c r="P19" s="17" t="s">
        <v>387</v>
      </c>
      <c r="Q19" s="36" t="n">
        <v>0.25</v>
      </c>
      <c r="R19" s="35" t="n">
        <f aca="false">IF(S19="Y",ROUNDUP(O19*(1+Q19),0),O19*(1+Q19))</f>
        <v>150</v>
      </c>
      <c r="S19" s="37" t="s">
        <v>388</v>
      </c>
      <c r="T19" s="38" t="s">
        <v>389</v>
      </c>
      <c r="U19" s="17" t="s">
        <v>181</v>
      </c>
      <c r="V19" s="17" t="s">
        <v>380</v>
      </c>
      <c r="W19" s="38" t="s">
        <v>390</v>
      </c>
    </row>
    <row r="20" customFormat="false" ht="15" hidden="false" customHeight="false" outlineLevel="0" collapsed="false">
      <c r="A20" s="25" t="s">
        <v>391</v>
      </c>
      <c r="B20" s="25" t="s">
        <v>62</v>
      </c>
      <c r="C20" s="25" t="s">
        <v>63</v>
      </c>
      <c r="D20" s="32" t="s">
        <v>392</v>
      </c>
      <c r="E20" s="32"/>
      <c r="F20" s="25" t="s">
        <v>122</v>
      </c>
      <c r="G20" s="32" t="s">
        <v>385</v>
      </c>
      <c r="H20" s="25" t="s">
        <v>356</v>
      </c>
      <c r="I20" s="34"/>
      <c r="J20" s="33" t="n">
        <v>31</v>
      </c>
      <c r="K20" s="33" t="n">
        <v>104.083333333333</v>
      </c>
      <c r="L20" s="34"/>
      <c r="M20" s="34"/>
      <c r="N20" s="34"/>
      <c r="O20" s="35" t="n">
        <f aca="false">IF(I20="",1,I20)*IF(J20="",1,J20)*IF(K20="",1,K20)*IF(L20="",1,L20)*IF(M20="",1,M20)-N(N20)</f>
        <v>3226.58333333333</v>
      </c>
      <c r="P20" s="17" t="s">
        <v>357</v>
      </c>
      <c r="Q20" s="36" t="n">
        <v>0</v>
      </c>
      <c r="R20" s="35" t="n">
        <f aca="false">IF(S20="Y",ROUNDUP(O20*(1+Q20),0),O20*(1+Q20))</f>
        <v>3226.58333333333</v>
      </c>
      <c r="S20" s="37" t="s">
        <v>322</v>
      </c>
      <c r="T20" s="38" t="s">
        <v>393</v>
      </c>
      <c r="U20" s="17" t="s">
        <v>359</v>
      </c>
      <c r="V20" s="17" t="s">
        <v>360</v>
      </c>
      <c r="W20" s="38"/>
    </row>
    <row r="21" customFormat="false" ht="15" hidden="false" customHeight="false" outlineLevel="0" collapsed="false">
      <c r="A21" s="25" t="s">
        <v>394</v>
      </c>
      <c r="B21" s="25" t="s">
        <v>62</v>
      </c>
      <c r="C21" s="25" t="s">
        <v>63</v>
      </c>
      <c r="D21" s="32" t="s">
        <v>395</v>
      </c>
      <c r="E21" s="32"/>
      <c r="F21" s="25" t="s">
        <v>115</v>
      </c>
      <c r="G21" s="32" t="s">
        <v>396</v>
      </c>
      <c r="H21" s="25" t="s">
        <v>320</v>
      </c>
      <c r="I21" s="33" t="n">
        <v>1</v>
      </c>
      <c r="J21" s="34"/>
      <c r="K21" s="34"/>
      <c r="L21" s="34"/>
      <c r="M21" s="34"/>
      <c r="N21" s="34"/>
      <c r="O21" s="35" t="n">
        <f aca="false">IF(I21="",1,I21)*IF(J21="",1,J21)*IF(K21="",1,K21)*IF(L21="",1,L21)*IF(M21="",1,M21)-N(N21)</f>
        <v>1</v>
      </c>
      <c r="P21" s="17" t="s">
        <v>321</v>
      </c>
      <c r="Q21" s="36" t="n">
        <v>0</v>
      </c>
      <c r="R21" s="35" t="n">
        <f aca="false">IF(S21="Y",ROUNDUP(O21*(1+Q21),0),O21*(1+Q21))</f>
        <v>1</v>
      </c>
      <c r="S21" s="37" t="s">
        <v>322</v>
      </c>
      <c r="T21" s="38"/>
      <c r="U21" s="17" t="s">
        <v>320</v>
      </c>
      <c r="V21" s="17" t="s">
        <v>323</v>
      </c>
      <c r="W21" s="38"/>
    </row>
    <row r="22" customFormat="false" ht="23.85" hidden="false" customHeight="false" outlineLevel="0" collapsed="false">
      <c r="A22" s="25" t="s">
        <v>397</v>
      </c>
      <c r="B22" s="25" t="s">
        <v>62</v>
      </c>
      <c r="C22" s="25" t="s">
        <v>63</v>
      </c>
      <c r="D22" s="32" t="s">
        <v>398</v>
      </c>
      <c r="E22" s="32"/>
      <c r="F22" s="25" t="s">
        <v>115</v>
      </c>
      <c r="G22" s="32" t="s">
        <v>399</v>
      </c>
      <c r="H22" s="25" t="s">
        <v>400</v>
      </c>
      <c r="I22" s="34"/>
      <c r="J22" s="33" t="n">
        <v>230</v>
      </c>
      <c r="K22" s="34"/>
      <c r="L22" s="34"/>
      <c r="M22" s="34"/>
      <c r="N22" s="34"/>
      <c r="O22" s="35" t="n">
        <f aca="false">IF(I22="",1,I22)*IF(J22="",1,J22)*IF(K22="",1,K22)*IF(L22="",1,L22)*IF(M22="",1,M22)-N(N22)</f>
        <v>230</v>
      </c>
      <c r="P22" s="17" t="s">
        <v>401</v>
      </c>
      <c r="Q22" s="36" t="n">
        <v>0</v>
      </c>
      <c r="R22" s="35" t="n">
        <f aca="false">IF(S22="Y",ROUNDUP(O22*(1+Q22),0),O22*(1+Q22))</f>
        <v>230</v>
      </c>
      <c r="S22" s="37" t="s">
        <v>322</v>
      </c>
      <c r="T22" s="38" t="s">
        <v>402</v>
      </c>
      <c r="U22" s="17" t="s">
        <v>181</v>
      </c>
      <c r="V22" s="17" t="s">
        <v>323</v>
      </c>
      <c r="W22" s="38"/>
    </row>
    <row r="23" customFormat="false" ht="28.35" hidden="false" customHeight="false" outlineLevel="0" collapsed="false">
      <c r="A23" s="25" t="s">
        <v>403</v>
      </c>
      <c r="B23" s="25" t="s">
        <v>64</v>
      </c>
      <c r="C23" s="25" t="s">
        <v>65</v>
      </c>
      <c r="D23" s="32" t="s">
        <v>404</v>
      </c>
      <c r="E23" s="32" t="s">
        <v>405</v>
      </c>
      <c r="F23" s="25" t="s">
        <v>122</v>
      </c>
      <c r="G23" s="32" t="s">
        <v>406</v>
      </c>
      <c r="H23" s="25" t="s">
        <v>386</v>
      </c>
      <c r="I23" s="34"/>
      <c r="J23" s="33" t="n">
        <v>21</v>
      </c>
      <c r="K23" s="33" t="n">
        <v>94.0833333333333</v>
      </c>
      <c r="L23" s="33" t="n">
        <v>0.333333333333333</v>
      </c>
      <c r="M23" s="33" t="n">
        <v>0.037037037037037</v>
      </c>
      <c r="N23" s="34"/>
      <c r="O23" s="35" t="n">
        <f aca="false">IF(I23="",1,I23)*IF(J23="",1,J23)*IF(K23="",1,K23)*IF(L23="",1,L23)*IF(M23="",1,M23)-N(N23)</f>
        <v>24.391975308642</v>
      </c>
      <c r="P23" s="17" t="s">
        <v>387</v>
      </c>
      <c r="Q23" s="36" t="n">
        <v>0.05</v>
      </c>
      <c r="R23" s="35" t="n">
        <f aca="false">IF(S23="Y",ROUNDUP(O23*(1+Q23),0),O23*(1+Q23))</f>
        <v>25.6115740740741</v>
      </c>
      <c r="S23" s="37" t="s">
        <v>322</v>
      </c>
      <c r="T23" s="38" t="s">
        <v>407</v>
      </c>
      <c r="U23" s="17" t="s">
        <v>359</v>
      </c>
      <c r="V23" s="17" t="s">
        <v>360</v>
      </c>
      <c r="W23" s="38" t="s">
        <v>408</v>
      </c>
    </row>
    <row r="24" customFormat="false" ht="28.35" hidden="false" customHeight="false" outlineLevel="0" collapsed="false">
      <c r="A24" s="25" t="s">
        <v>409</v>
      </c>
      <c r="B24" s="25" t="s">
        <v>64</v>
      </c>
      <c r="C24" s="25" t="s">
        <v>65</v>
      </c>
      <c r="D24" s="32" t="s">
        <v>410</v>
      </c>
      <c r="E24" s="32" t="s">
        <v>411</v>
      </c>
      <c r="F24" s="25" t="s">
        <v>122</v>
      </c>
      <c r="G24" s="32" t="s">
        <v>412</v>
      </c>
      <c r="H24" s="25" t="s">
        <v>386</v>
      </c>
      <c r="I24" s="34"/>
      <c r="J24" s="33" t="n">
        <v>230.166666666667</v>
      </c>
      <c r="K24" s="33" t="n">
        <v>1</v>
      </c>
      <c r="L24" s="33" t="n">
        <v>1.66666666666667</v>
      </c>
      <c r="M24" s="33" t="n">
        <v>0.037037037037037</v>
      </c>
      <c r="N24" s="34"/>
      <c r="O24" s="35" t="n">
        <f aca="false">IF(I24="",1,I24)*IF(J24="",1,J24)*IF(K24="",1,K24)*IF(L24="",1,L24)*IF(M24="",1,M24)-N(N24)</f>
        <v>14.2078189300412</v>
      </c>
      <c r="P24" s="17" t="s">
        <v>387</v>
      </c>
      <c r="Q24" s="36" t="n">
        <v>0.08</v>
      </c>
      <c r="R24" s="35" t="n">
        <f aca="false">IF(S24="Y",ROUNDUP(O24*(1+Q24),0),O24*(1+Q24))</f>
        <v>15.3444444444444</v>
      </c>
      <c r="S24" s="37" t="s">
        <v>322</v>
      </c>
      <c r="T24" s="38" t="s">
        <v>413</v>
      </c>
      <c r="U24" s="17" t="s">
        <v>181</v>
      </c>
      <c r="V24" s="17" t="s">
        <v>323</v>
      </c>
      <c r="W24" s="38" t="s">
        <v>414</v>
      </c>
    </row>
    <row r="25" customFormat="false" ht="23.85" hidden="false" customHeight="false" outlineLevel="0" collapsed="false">
      <c r="A25" s="25" t="s">
        <v>415</v>
      </c>
      <c r="B25" s="25" t="s">
        <v>64</v>
      </c>
      <c r="C25" s="25" t="s">
        <v>65</v>
      </c>
      <c r="D25" s="32" t="s">
        <v>416</v>
      </c>
      <c r="E25" s="32"/>
      <c r="F25" s="25" t="s">
        <v>122</v>
      </c>
      <c r="G25" s="32" t="s">
        <v>417</v>
      </c>
      <c r="H25" s="25" t="s">
        <v>386</v>
      </c>
      <c r="I25" s="34"/>
      <c r="J25" s="33" t="n">
        <v>187.083333333333</v>
      </c>
      <c r="K25" s="33" t="n">
        <v>1</v>
      </c>
      <c r="L25" s="33" t="n">
        <v>1.33333333333333</v>
      </c>
      <c r="M25" s="33" t="n">
        <v>0.037037037037037</v>
      </c>
      <c r="N25" s="34"/>
      <c r="O25" s="35" t="n">
        <f aca="false">IF(I25="",1,I25)*IF(J25="",1,J25)*IF(K25="",1,K25)*IF(L25="",1,L25)*IF(M25="",1,M25)-N(N25)</f>
        <v>9.23868312757201</v>
      </c>
      <c r="P25" s="17" t="s">
        <v>387</v>
      </c>
      <c r="Q25" s="36" t="n">
        <v>0.08</v>
      </c>
      <c r="R25" s="35" t="n">
        <f aca="false">IF(S25="Y",ROUNDUP(O25*(1+Q25),0),O25*(1+Q25))</f>
        <v>9.97777777777777</v>
      </c>
      <c r="S25" s="37" t="s">
        <v>322</v>
      </c>
      <c r="T25" s="38" t="s">
        <v>418</v>
      </c>
      <c r="U25" s="17" t="s">
        <v>181</v>
      </c>
      <c r="V25" s="17" t="s">
        <v>380</v>
      </c>
      <c r="W25" s="38" t="s">
        <v>419</v>
      </c>
    </row>
    <row r="26" customFormat="false" ht="15" hidden="false" customHeight="false" outlineLevel="0" collapsed="false">
      <c r="A26" s="25" t="s">
        <v>420</v>
      </c>
      <c r="B26" s="25" t="s">
        <v>64</v>
      </c>
      <c r="C26" s="25" t="s">
        <v>65</v>
      </c>
      <c r="D26" s="32" t="s">
        <v>421</v>
      </c>
      <c r="E26" s="32"/>
      <c r="F26" s="25" t="s">
        <v>122</v>
      </c>
      <c r="G26" s="32" t="s">
        <v>422</v>
      </c>
      <c r="H26" s="25" t="s">
        <v>356</v>
      </c>
      <c r="I26" s="34"/>
      <c r="J26" s="33" t="n">
        <v>21</v>
      </c>
      <c r="K26" s="33" t="n">
        <v>94.0833333333333</v>
      </c>
      <c r="L26" s="34"/>
      <c r="M26" s="34"/>
      <c r="N26" s="34"/>
      <c r="O26" s="35" t="n">
        <f aca="false">IF(I26="",1,I26)*IF(J26="",1,J26)*IF(K26="",1,K26)*IF(L26="",1,L26)*IF(M26="",1,M26)-N(N26)</f>
        <v>1975.75</v>
      </c>
      <c r="P26" s="17" t="s">
        <v>357</v>
      </c>
      <c r="Q26" s="36" t="n">
        <v>0.15</v>
      </c>
      <c r="R26" s="35" t="n">
        <f aca="false">IF(S26="Y",ROUNDUP(O26*(1+Q26),0),O26*(1+Q26))</f>
        <v>2272.1125</v>
      </c>
      <c r="S26" s="37" t="s">
        <v>322</v>
      </c>
      <c r="T26" s="38" t="s">
        <v>423</v>
      </c>
      <c r="U26" s="17" t="s">
        <v>359</v>
      </c>
      <c r="V26" s="17" t="s">
        <v>360</v>
      </c>
      <c r="W26" s="38"/>
    </row>
    <row r="27" customFormat="false" ht="15" hidden="false" customHeight="false" outlineLevel="0" collapsed="false">
      <c r="A27" s="25" t="s">
        <v>424</v>
      </c>
      <c r="B27" s="25" t="s">
        <v>64</v>
      </c>
      <c r="C27" s="25" t="s">
        <v>65</v>
      </c>
      <c r="D27" s="32" t="s">
        <v>425</v>
      </c>
      <c r="E27" s="32" t="s">
        <v>426</v>
      </c>
      <c r="F27" s="25" t="s">
        <v>122</v>
      </c>
      <c r="G27" s="32" t="s">
        <v>427</v>
      </c>
      <c r="H27" s="25" t="s">
        <v>400</v>
      </c>
      <c r="I27" s="33" t="n">
        <v>4</v>
      </c>
      <c r="J27" s="33" t="n">
        <v>417.25</v>
      </c>
      <c r="K27" s="34"/>
      <c r="L27" s="34"/>
      <c r="M27" s="34"/>
      <c r="N27" s="34"/>
      <c r="O27" s="35" t="n">
        <f aca="false">IF(I27="",1,I27)*IF(J27="",1,J27)*IF(K27="",1,K27)*IF(L27="",1,L27)*IF(M27="",1,M27)-N(N27)</f>
        <v>1669</v>
      </c>
      <c r="P27" s="17" t="s">
        <v>401</v>
      </c>
      <c r="Q27" s="36" t="n">
        <v>0.1</v>
      </c>
      <c r="R27" s="35" t="n">
        <f aca="false">IF(S27="Y",ROUNDUP(O27*(1+Q27),0),O27*(1+Q27))</f>
        <v>1835.9</v>
      </c>
      <c r="S27" s="37" t="s">
        <v>322</v>
      </c>
      <c r="T27" s="38" t="s">
        <v>428</v>
      </c>
      <c r="U27" s="17" t="s">
        <v>181</v>
      </c>
      <c r="V27" s="17" t="s">
        <v>323</v>
      </c>
      <c r="W27" s="38"/>
    </row>
    <row r="28" customFormat="false" ht="15" hidden="false" customHeight="false" outlineLevel="0" collapsed="false">
      <c r="A28" s="25" t="s">
        <v>429</v>
      </c>
      <c r="B28" s="25" t="s">
        <v>64</v>
      </c>
      <c r="C28" s="25" t="s">
        <v>65</v>
      </c>
      <c r="D28" s="32" t="s">
        <v>430</v>
      </c>
      <c r="E28" s="32" t="s">
        <v>426</v>
      </c>
      <c r="F28" s="25" t="s">
        <v>122</v>
      </c>
      <c r="G28" s="32" t="s">
        <v>372</v>
      </c>
      <c r="H28" s="25" t="s">
        <v>400</v>
      </c>
      <c r="I28" s="34"/>
      <c r="J28" s="33" t="n">
        <v>21</v>
      </c>
      <c r="K28" s="33" t="n">
        <v>94.0833333333333</v>
      </c>
      <c r="L28" s="34"/>
      <c r="M28" s="33" t="n">
        <v>1.33333333333333</v>
      </c>
      <c r="N28" s="34"/>
      <c r="O28" s="35" t="n">
        <f aca="false">IF(I28="",1,I28)*IF(J28="",1,J28)*IF(K28="",1,K28)*IF(L28="",1,L28)*IF(M28="",1,M28)-N(N28)</f>
        <v>2634.33333333333</v>
      </c>
      <c r="P28" s="17" t="s">
        <v>401</v>
      </c>
      <c r="Q28" s="36" t="n">
        <v>0.1</v>
      </c>
      <c r="R28" s="35" t="n">
        <f aca="false">IF(S28="Y",ROUNDUP(O28*(1+Q28),0),O28*(1+Q28))</f>
        <v>2897.76666666667</v>
      </c>
      <c r="S28" s="37" t="s">
        <v>322</v>
      </c>
      <c r="T28" s="38" t="s">
        <v>431</v>
      </c>
      <c r="U28" s="17" t="s">
        <v>181</v>
      </c>
      <c r="V28" s="17" t="s">
        <v>323</v>
      </c>
      <c r="W28" s="38"/>
    </row>
    <row r="29" customFormat="false" ht="15" hidden="false" customHeight="false" outlineLevel="0" collapsed="false">
      <c r="A29" s="25" t="s">
        <v>432</v>
      </c>
      <c r="B29" s="25" t="s">
        <v>64</v>
      </c>
      <c r="C29" s="25" t="s">
        <v>65</v>
      </c>
      <c r="D29" s="32" t="s">
        <v>433</v>
      </c>
      <c r="E29" s="32"/>
      <c r="F29" s="25" t="s">
        <v>122</v>
      </c>
      <c r="G29" s="32" t="s">
        <v>372</v>
      </c>
      <c r="H29" s="25" t="s">
        <v>356</v>
      </c>
      <c r="I29" s="34"/>
      <c r="J29" s="33" t="n">
        <v>21</v>
      </c>
      <c r="K29" s="33" t="n">
        <v>94.0833333333333</v>
      </c>
      <c r="L29" s="34"/>
      <c r="M29" s="34"/>
      <c r="N29" s="34"/>
      <c r="O29" s="35" t="n">
        <f aca="false">IF(I29="",1,I29)*IF(J29="",1,J29)*IF(K29="",1,K29)*IF(L29="",1,L29)*IF(M29="",1,M29)-N(N29)</f>
        <v>1975.75</v>
      </c>
      <c r="P29" s="17" t="s">
        <v>357</v>
      </c>
      <c r="Q29" s="36" t="n">
        <v>0</v>
      </c>
      <c r="R29" s="35" t="n">
        <f aca="false">IF(S29="Y",ROUNDUP(O29*(1+Q29),0),O29*(1+Q29))</f>
        <v>1975.75</v>
      </c>
      <c r="S29" s="37" t="s">
        <v>322</v>
      </c>
      <c r="T29" s="38" t="s">
        <v>434</v>
      </c>
      <c r="U29" s="17" t="s">
        <v>359</v>
      </c>
      <c r="V29" s="17" t="s">
        <v>360</v>
      </c>
      <c r="W29" s="38"/>
    </row>
    <row r="30" customFormat="false" ht="15" hidden="false" customHeight="false" outlineLevel="0" collapsed="false">
      <c r="A30" s="25" t="s">
        <v>435</v>
      </c>
      <c r="B30" s="25" t="s">
        <v>64</v>
      </c>
      <c r="C30" s="25" t="s">
        <v>65</v>
      </c>
      <c r="D30" s="32" t="s">
        <v>436</v>
      </c>
      <c r="E30" s="32"/>
      <c r="F30" s="25" t="s">
        <v>122</v>
      </c>
      <c r="G30" s="32" t="s">
        <v>372</v>
      </c>
      <c r="H30" s="25" t="s">
        <v>356</v>
      </c>
      <c r="I30" s="34"/>
      <c r="J30" s="33" t="n">
        <v>21</v>
      </c>
      <c r="K30" s="33" t="n">
        <v>94.0833333333333</v>
      </c>
      <c r="L30" s="34"/>
      <c r="M30" s="34"/>
      <c r="N30" s="34"/>
      <c r="O30" s="35" t="n">
        <f aca="false">IF(I30="",1,I30)*IF(J30="",1,J30)*IF(K30="",1,K30)*IF(L30="",1,L30)*IF(M30="",1,M30)-N(N30)</f>
        <v>1975.75</v>
      </c>
      <c r="P30" s="17" t="s">
        <v>357</v>
      </c>
      <c r="Q30" s="36" t="n">
        <v>0</v>
      </c>
      <c r="R30" s="35" t="n">
        <f aca="false">IF(S30="Y",ROUNDUP(O30*(1+Q30),0),O30*(1+Q30))</f>
        <v>1975.75</v>
      </c>
      <c r="S30" s="37" t="s">
        <v>322</v>
      </c>
      <c r="T30" s="38" t="s">
        <v>434</v>
      </c>
      <c r="U30" s="17" t="s">
        <v>359</v>
      </c>
      <c r="V30" s="17" t="s">
        <v>360</v>
      </c>
      <c r="W30" s="38"/>
    </row>
    <row r="31" customFormat="false" ht="15" hidden="false" customHeight="false" outlineLevel="0" collapsed="false">
      <c r="A31" s="25" t="s">
        <v>437</v>
      </c>
      <c r="B31" s="25" t="s">
        <v>64</v>
      </c>
      <c r="C31" s="25" t="s">
        <v>65</v>
      </c>
      <c r="D31" s="32" t="s">
        <v>438</v>
      </c>
      <c r="E31" s="32"/>
      <c r="F31" s="25" t="s">
        <v>142</v>
      </c>
      <c r="G31" s="32" t="s">
        <v>439</v>
      </c>
      <c r="H31" s="25" t="s">
        <v>320</v>
      </c>
      <c r="I31" s="33" t="n">
        <v>1</v>
      </c>
      <c r="J31" s="34"/>
      <c r="K31" s="34"/>
      <c r="L31" s="34"/>
      <c r="M31" s="34"/>
      <c r="N31" s="34"/>
      <c r="O31" s="35" t="n">
        <f aca="false">IF(I31="",1,I31)*IF(J31="",1,J31)*IF(K31="",1,K31)*IF(L31="",1,L31)*IF(M31="",1,M31)-N(N31)</f>
        <v>1</v>
      </c>
      <c r="P31" s="17" t="s">
        <v>321</v>
      </c>
      <c r="Q31" s="36" t="n">
        <v>0</v>
      </c>
      <c r="R31" s="35" t="n">
        <f aca="false">IF(S31="Y",ROUNDUP(O31*(1+Q31),0),O31*(1+Q31))</f>
        <v>1</v>
      </c>
      <c r="S31" s="37" t="s">
        <v>322</v>
      </c>
      <c r="T31" s="38"/>
      <c r="U31" s="17" t="s">
        <v>320</v>
      </c>
      <c r="V31" s="17" t="s">
        <v>323</v>
      </c>
      <c r="W31" s="38"/>
    </row>
    <row r="32" customFormat="false" ht="23.85" hidden="false" customHeight="false" outlineLevel="0" collapsed="false">
      <c r="A32" s="25" t="s">
        <v>440</v>
      </c>
      <c r="B32" s="25" t="s">
        <v>64</v>
      </c>
      <c r="C32" s="25" t="s">
        <v>65</v>
      </c>
      <c r="D32" s="32" t="s">
        <v>441</v>
      </c>
      <c r="E32" s="32" t="s">
        <v>442</v>
      </c>
      <c r="F32" s="25" t="s">
        <v>443</v>
      </c>
      <c r="G32" s="32" t="s">
        <v>366</v>
      </c>
      <c r="H32" s="25" t="s">
        <v>356</v>
      </c>
      <c r="I32" s="34"/>
      <c r="J32" s="33" t="n">
        <v>21</v>
      </c>
      <c r="K32" s="33" t="n">
        <v>64.1666666666667</v>
      </c>
      <c r="L32" s="34"/>
      <c r="M32" s="34"/>
      <c r="N32" s="34"/>
      <c r="O32" s="35" t="n">
        <f aca="false">IF(I32="",1,I32)*IF(J32="",1,J32)*IF(K32="",1,K32)*IF(L32="",1,L32)*IF(M32="",1,M32)-N(N32)</f>
        <v>1347.5</v>
      </c>
      <c r="P32" s="17" t="s">
        <v>357</v>
      </c>
      <c r="Q32" s="36" t="n">
        <v>0</v>
      </c>
      <c r="R32" s="35" t="n">
        <f aca="false">IF(S32="Y",ROUNDUP(O32*(1+Q32),0),O32*(1+Q32))</f>
        <v>1347.5</v>
      </c>
      <c r="S32" s="37" t="s">
        <v>322</v>
      </c>
      <c r="T32" s="38" t="s">
        <v>367</v>
      </c>
      <c r="U32" s="17" t="s">
        <v>359</v>
      </c>
      <c r="V32" s="17" t="s">
        <v>360</v>
      </c>
      <c r="W32" s="38"/>
    </row>
    <row r="33" customFormat="false" ht="15" hidden="false" customHeight="false" outlineLevel="0" collapsed="false">
      <c r="A33" s="25" t="s">
        <v>444</v>
      </c>
      <c r="B33" s="25" t="s">
        <v>64</v>
      </c>
      <c r="C33" s="25" t="s">
        <v>65</v>
      </c>
      <c r="D33" s="32" t="s">
        <v>445</v>
      </c>
      <c r="E33" s="32" t="s">
        <v>446</v>
      </c>
      <c r="F33" s="25" t="s">
        <v>443</v>
      </c>
      <c r="G33" s="32" t="s">
        <v>447</v>
      </c>
      <c r="H33" s="25" t="s">
        <v>356</v>
      </c>
      <c r="I33" s="34"/>
      <c r="J33" s="33" t="n">
        <v>21</v>
      </c>
      <c r="K33" s="33" t="n">
        <v>5.91666666666667</v>
      </c>
      <c r="L33" s="34"/>
      <c r="M33" s="34"/>
      <c r="N33" s="34"/>
      <c r="O33" s="35" t="n">
        <f aca="false">IF(I33="",1,I33)*IF(J33="",1,J33)*IF(K33="",1,K33)*IF(L33="",1,L33)*IF(M33="",1,M33)-N(N33)</f>
        <v>124.25</v>
      </c>
      <c r="P33" s="17" t="s">
        <v>357</v>
      </c>
      <c r="Q33" s="36" t="n">
        <v>0</v>
      </c>
      <c r="R33" s="35" t="n">
        <f aca="false">IF(S33="Y",ROUNDUP(O33*(1+Q33),0),O33*(1+Q33))</f>
        <v>124.25</v>
      </c>
      <c r="S33" s="37" t="s">
        <v>322</v>
      </c>
      <c r="T33" s="38" t="s">
        <v>448</v>
      </c>
      <c r="U33" s="17" t="s">
        <v>359</v>
      </c>
      <c r="V33" s="17" t="s">
        <v>360</v>
      </c>
      <c r="W33" s="38"/>
    </row>
    <row r="34" customFormat="false" ht="15" hidden="false" customHeight="false" outlineLevel="0" collapsed="false">
      <c r="A34" s="25" t="s">
        <v>449</v>
      </c>
      <c r="B34" s="25" t="s">
        <v>64</v>
      </c>
      <c r="C34" s="25" t="s">
        <v>65</v>
      </c>
      <c r="D34" s="32" t="s">
        <v>450</v>
      </c>
      <c r="E34" s="32"/>
      <c r="F34" s="25" t="s">
        <v>122</v>
      </c>
      <c r="G34" s="32" t="s">
        <v>451</v>
      </c>
      <c r="H34" s="25" t="s">
        <v>302</v>
      </c>
      <c r="I34" s="33" t="n">
        <v>46</v>
      </c>
      <c r="J34" s="34"/>
      <c r="K34" s="34"/>
      <c r="L34" s="34"/>
      <c r="M34" s="34"/>
      <c r="N34" s="34"/>
      <c r="O34" s="35" t="n">
        <f aca="false">IF(I34="",1,I34)*IF(J34="",1,J34)*IF(K34="",1,K34)*IF(L34="",1,L34)*IF(M34="",1,M34)-N(N34)</f>
        <v>46</v>
      </c>
      <c r="P34" s="17" t="s">
        <v>345</v>
      </c>
      <c r="Q34" s="36" t="n">
        <v>0</v>
      </c>
      <c r="R34" s="35" t="n">
        <f aca="false">IF(S34="Y",ROUNDUP(O34*(1+Q34),0),O34*(1+Q34))</f>
        <v>46</v>
      </c>
      <c r="S34" s="37" t="s">
        <v>322</v>
      </c>
      <c r="T34" s="38" t="s">
        <v>452</v>
      </c>
      <c r="U34" s="17" t="s">
        <v>359</v>
      </c>
      <c r="V34" s="17" t="s">
        <v>323</v>
      </c>
      <c r="W34" s="38"/>
    </row>
    <row r="35" customFormat="false" ht="15" hidden="false" customHeight="false" outlineLevel="0" collapsed="false">
      <c r="A35" s="25" t="s">
        <v>453</v>
      </c>
      <c r="B35" s="25" t="s">
        <v>64</v>
      </c>
      <c r="C35" s="25" t="s">
        <v>65</v>
      </c>
      <c r="D35" s="32" t="s">
        <v>454</v>
      </c>
      <c r="E35" s="32"/>
      <c r="F35" s="25" t="s">
        <v>122</v>
      </c>
      <c r="G35" s="32" t="s">
        <v>372</v>
      </c>
      <c r="H35" s="25" t="s">
        <v>400</v>
      </c>
      <c r="I35" s="34"/>
      <c r="J35" s="33" t="n">
        <v>120</v>
      </c>
      <c r="K35" s="34"/>
      <c r="L35" s="34"/>
      <c r="M35" s="34"/>
      <c r="N35" s="34"/>
      <c r="O35" s="35" t="n">
        <f aca="false">IF(I35="",1,I35)*IF(J35="",1,J35)*IF(K35="",1,K35)*IF(L35="",1,L35)*IF(M35="",1,M35)-N(N35)</f>
        <v>120</v>
      </c>
      <c r="P35" s="17" t="s">
        <v>401</v>
      </c>
      <c r="Q35" s="36" t="n">
        <v>0</v>
      </c>
      <c r="R35" s="35" t="n">
        <f aca="false">IF(S35="Y",ROUNDUP(O35*(1+Q35),0),O35*(1+Q35))</f>
        <v>120</v>
      </c>
      <c r="S35" s="37" t="s">
        <v>322</v>
      </c>
      <c r="T35" s="38" t="s">
        <v>455</v>
      </c>
      <c r="U35" s="17" t="s">
        <v>181</v>
      </c>
      <c r="V35" s="17" t="s">
        <v>323</v>
      </c>
      <c r="W35" s="38"/>
    </row>
    <row r="36" customFormat="false" ht="15" hidden="false" customHeight="false" outlineLevel="0" collapsed="false">
      <c r="A36" s="25" t="s">
        <v>456</v>
      </c>
      <c r="B36" s="25" t="s">
        <v>64</v>
      </c>
      <c r="C36" s="25" t="s">
        <v>65</v>
      </c>
      <c r="D36" s="32" t="s">
        <v>457</v>
      </c>
      <c r="E36" s="32"/>
      <c r="F36" s="25" t="s">
        <v>122</v>
      </c>
      <c r="G36" s="32" t="s">
        <v>458</v>
      </c>
      <c r="H36" s="25" t="s">
        <v>302</v>
      </c>
      <c r="I36" s="33" t="n">
        <v>2</v>
      </c>
      <c r="J36" s="34"/>
      <c r="K36" s="34"/>
      <c r="L36" s="34"/>
      <c r="M36" s="34"/>
      <c r="N36" s="34"/>
      <c r="O36" s="35" t="n">
        <f aca="false">IF(I36="",1,I36)*IF(J36="",1,J36)*IF(K36="",1,K36)*IF(L36="",1,L36)*IF(M36="",1,M36)-N(N36)</f>
        <v>2</v>
      </c>
      <c r="P36" s="17" t="s">
        <v>345</v>
      </c>
      <c r="Q36" s="36" t="n">
        <v>0</v>
      </c>
      <c r="R36" s="35" t="n">
        <f aca="false">IF(S36="Y",ROUNDUP(O36*(1+Q36),0),O36*(1+Q36))</f>
        <v>2</v>
      </c>
      <c r="S36" s="37" t="s">
        <v>322</v>
      </c>
      <c r="T36" s="38" t="s">
        <v>459</v>
      </c>
      <c r="U36" s="17" t="s">
        <v>460</v>
      </c>
      <c r="V36" s="17" t="s">
        <v>323</v>
      </c>
      <c r="W36" s="38" t="s">
        <v>461</v>
      </c>
    </row>
    <row r="37" customFormat="false" ht="15" hidden="false" customHeight="false" outlineLevel="0" collapsed="false">
      <c r="A37" s="25" t="s">
        <v>462</v>
      </c>
      <c r="B37" s="25" t="s">
        <v>66</v>
      </c>
      <c r="C37" s="25" t="s">
        <v>67</v>
      </c>
      <c r="D37" s="32" t="s">
        <v>463</v>
      </c>
      <c r="E37" s="32"/>
      <c r="F37" s="25" t="s">
        <v>122</v>
      </c>
      <c r="G37" s="32" t="s">
        <v>451</v>
      </c>
      <c r="H37" s="25" t="s">
        <v>400</v>
      </c>
      <c r="I37" s="34"/>
      <c r="J37" s="33" t="n">
        <v>182.17</v>
      </c>
      <c r="K37" s="34"/>
      <c r="L37" s="34"/>
      <c r="M37" s="34"/>
      <c r="N37" s="34"/>
      <c r="O37" s="35" t="n">
        <f aca="false">IF(I37="",1,I37)*IF(J37="",1,J37)*IF(K37="",1,K37)*IF(L37="",1,L37)*IF(M37="",1,M37)-N(N37)</f>
        <v>182.17</v>
      </c>
      <c r="P37" s="17" t="s">
        <v>401</v>
      </c>
      <c r="Q37" s="36" t="n">
        <v>0.1</v>
      </c>
      <c r="R37" s="35" t="n">
        <f aca="false">IF(S37="Y",ROUNDUP(O37*(1+Q37),0),O37*(1+Q37))</f>
        <v>200.387</v>
      </c>
      <c r="S37" s="37" t="s">
        <v>322</v>
      </c>
      <c r="T37" s="38" t="s">
        <v>464</v>
      </c>
      <c r="U37" s="17" t="s">
        <v>359</v>
      </c>
      <c r="V37" s="17" t="s">
        <v>360</v>
      </c>
      <c r="W37" s="38"/>
    </row>
    <row r="38" customFormat="false" ht="15" hidden="false" customHeight="false" outlineLevel="0" collapsed="false">
      <c r="A38" s="25" t="s">
        <v>465</v>
      </c>
      <c r="B38" s="25" t="s">
        <v>66</v>
      </c>
      <c r="C38" s="25" t="s">
        <v>67</v>
      </c>
      <c r="D38" s="32" t="s">
        <v>466</v>
      </c>
      <c r="E38" s="32"/>
      <c r="F38" s="25" t="s">
        <v>122</v>
      </c>
      <c r="G38" s="32" t="s">
        <v>451</v>
      </c>
      <c r="H38" s="25" t="s">
        <v>400</v>
      </c>
      <c r="I38" s="33" t="n">
        <v>2</v>
      </c>
      <c r="J38" s="33" t="n">
        <v>182.17</v>
      </c>
      <c r="K38" s="34"/>
      <c r="L38" s="34"/>
      <c r="M38" s="34"/>
      <c r="N38" s="34"/>
      <c r="O38" s="35" t="n">
        <f aca="false">IF(I38="",1,I38)*IF(J38="",1,J38)*IF(K38="",1,K38)*IF(L38="",1,L38)*IF(M38="",1,M38)-N(N38)</f>
        <v>364.34</v>
      </c>
      <c r="P38" s="17" t="s">
        <v>401</v>
      </c>
      <c r="Q38" s="36" t="n">
        <v>0.1</v>
      </c>
      <c r="R38" s="35" t="n">
        <f aca="false">IF(S38="Y",ROUNDUP(O38*(1+Q38),0),O38*(1+Q38))</f>
        <v>400.774</v>
      </c>
      <c r="S38" s="37" t="s">
        <v>322</v>
      </c>
      <c r="T38" s="38" t="s">
        <v>467</v>
      </c>
      <c r="U38" s="17" t="s">
        <v>359</v>
      </c>
      <c r="V38" s="17" t="s">
        <v>360</v>
      </c>
      <c r="W38" s="38"/>
    </row>
    <row r="39" customFormat="false" ht="28.35" hidden="false" customHeight="false" outlineLevel="0" collapsed="false">
      <c r="A39" s="25" t="s">
        <v>468</v>
      </c>
      <c r="B39" s="25" t="s">
        <v>66</v>
      </c>
      <c r="C39" s="25" t="s">
        <v>67</v>
      </c>
      <c r="D39" s="32" t="s">
        <v>469</v>
      </c>
      <c r="E39" s="32" t="s">
        <v>470</v>
      </c>
      <c r="F39" s="25" t="s">
        <v>443</v>
      </c>
      <c r="G39" s="32" t="s">
        <v>451</v>
      </c>
      <c r="H39" s="25" t="s">
        <v>302</v>
      </c>
      <c r="I39" s="33" t="n">
        <f aca="false">ROUNDUP(182.17/2,0)+4*3+10*2+14*4+28</f>
        <v>208</v>
      </c>
      <c r="J39" s="34"/>
      <c r="K39" s="34"/>
      <c r="L39" s="34"/>
      <c r="M39" s="34"/>
      <c r="N39" s="34"/>
      <c r="O39" s="35" t="n">
        <f aca="false">IF(I39="",1,I39)*IF(J39="",1,J39)*IF(K39="",1,K39)*IF(L39="",1,L39)*IF(M39="",1,M39)-N(N39)</f>
        <v>208</v>
      </c>
      <c r="P39" s="17" t="s">
        <v>345</v>
      </c>
      <c r="Q39" s="36" t="n">
        <v>0.1</v>
      </c>
      <c r="R39" s="35" t="n">
        <f aca="false">IF(S39="Y",ROUNDUP(O39*(1+Q39),0),O39*(1+Q39))</f>
        <v>229</v>
      </c>
      <c r="S39" s="37" t="s">
        <v>388</v>
      </c>
      <c r="T39" s="38" t="s">
        <v>471</v>
      </c>
      <c r="U39" s="17" t="s">
        <v>359</v>
      </c>
      <c r="V39" s="17" t="s">
        <v>323</v>
      </c>
      <c r="W39" s="38"/>
    </row>
    <row r="40" customFormat="false" ht="28.35" hidden="false" customHeight="false" outlineLevel="0" collapsed="false">
      <c r="A40" s="25" t="s">
        <v>472</v>
      </c>
      <c r="B40" s="25" t="s">
        <v>66</v>
      </c>
      <c r="C40" s="25" t="s">
        <v>67</v>
      </c>
      <c r="D40" s="32" t="s">
        <v>473</v>
      </c>
      <c r="E40" s="32"/>
      <c r="F40" s="25" t="s">
        <v>134</v>
      </c>
      <c r="G40" s="32" t="s">
        <v>474</v>
      </c>
      <c r="H40" s="25" t="s">
        <v>400</v>
      </c>
      <c r="I40" s="33" t="n">
        <v>2</v>
      </c>
      <c r="J40" s="33" t="n">
        <v>69</v>
      </c>
      <c r="K40" s="34"/>
      <c r="L40" s="34"/>
      <c r="M40" s="34"/>
      <c r="N40" s="34"/>
      <c r="O40" s="35" t="n">
        <f aca="false">IF(I40="",1,I40)*IF(J40="",1,J40)*IF(K40="",1,K40)*IF(L40="",1,L40)*IF(M40="",1,M40)-N(N40)</f>
        <v>138</v>
      </c>
      <c r="P40" s="17" t="s">
        <v>401</v>
      </c>
      <c r="Q40" s="36" t="n">
        <v>0.1</v>
      </c>
      <c r="R40" s="35" t="n">
        <f aca="false">IF(S40="Y",ROUNDUP(O40*(1+Q40),0),O40*(1+Q40))</f>
        <v>151.8</v>
      </c>
      <c r="S40" s="37" t="s">
        <v>322</v>
      </c>
      <c r="T40" s="38" t="s">
        <v>475</v>
      </c>
      <c r="U40" s="17" t="s">
        <v>359</v>
      </c>
      <c r="V40" s="17" t="s">
        <v>323</v>
      </c>
      <c r="W40" s="38" t="s">
        <v>476</v>
      </c>
    </row>
    <row r="41" customFormat="false" ht="15" hidden="false" customHeight="false" outlineLevel="0" collapsed="false">
      <c r="A41" s="25" t="s">
        <v>477</v>
      </c>
      <c r="B41" s="25" t="s">
        <v>66</v>
      </c>
      <c r="C41" s="25" t="s">
        <v>67</v>
      </c>
      <c r="D41" s="32" t="s">
        <v>478</v>
      </c>
      <c r="E41" s="32"/>
      <c r="F41" s="25" t="s">
        <v>122</v>
      </c>
      <c r="G41" s="32" t="s">
        <v>479</v>
      </c>
      <c r="H41" s="25" t="s">
        <v>400</v>
      </c>
      <c r="I41" s="34"/>
      <c r="J41" s="33" t="n">
        <v>138.56</v>
      </c>
      <c r="K41" s="34"/>
      <c r="L41" s="34"/>
      <c r="M41" s="34"/>
      <c r="N41" s="34"/>
      <c r="O41" s="35" t="n">
        <f aca="false">IF(I41="",1,I41)*IF(J41="",1,J41)*IF(K41="",1,K41)*IF(L41="",1,L41)*IF(M41="",1,M41)-N(N41)</f>
        <v>138.56</v>
      </c>
      <c r="P41" s="17" t="s">
        <v>401</v>
      </c>
      <c r="Q41" s="36" t="n">
        <v>0.1</v>
      </c>
      <c r="R41" s="35" t="n">
        <f aca="false">IF(S41="Y",ROUNDUP(O41*(1+Q41),0),O41*(1+Q41))</f>
        <v>152.416</v>
      </c>
      <c r="S41" s="37" t="s">
        <v>322</v>
      </c>
      <c r="T41" s="38" t="s">
        <v>480</v>
      </c>
      <c r="U41" s="17" t="s">
        <v>460</v>
      </c>
      <c r="V41" s="17" t="s">
        <v>323</v>
      </c>
      <c r="W41" s="38"/>
    </row>
    <row r="42" customFormat="false" ht="15" hidden="false" customHeight="false" outlineLevel="0" collapsed="false">
      <c r="A42" s="25" t="s">
        <v>481</v>
      </c>
      <c r="B42" s="25" t="s">
        <v>66</v>
      </c>
      <c r="C42" s="25" t="s">
        <v>67</v>
      </c>
      <c r="D42" s="32" t="s">
        <v>482</v>
      </c>
      <c r="E42" s="32"/>
      <c r="F42" s="25" t="s">
        <v>122</v>
      </c>
      <c r="G42" s="32" t="s">
        <v>479</v>
      </c>
      <c r="H42" s="25" t="s">
        <v>400</v>
      </c>
      <c r="I42" s="33" t="n">
        <v>2</v>
      </c>
      <c r="J42" s="33" t="n">
        <v>138.56</v>
      </c>
      <c r="K42" s="34"/>
      <c r="L42" s="34"/>
      <c r="M42" s="34"/>
      <c r="N42" s="34"/>
      <c r="O42" s="35" t="n">
        <f aca="false">IF(I42="",1,I42)*IF(J42="",1,J42)*IF(K42="",1,K42)*IF(L42="",1,L42)*IF(M42="",1,M42)-N(N42)</f>
        <v>277.12</v>
      </c>
      <c r="P42" s="17" t="s">
        <v>401</v>
      </c>
      <c r="Q42" s="36" t="n">
        <v>0.1</v>
      </c>
      <c r="R42" s="35" t="n">
        <f aca="false">IF(S42="Y",ROUNDUP(O42*(1+Q42),0),O42*(1+Q42))</f>
        <v>304.832</v>
      </c>
      <c r="S42" s="37" t="s">
        <v>322</v>
      </c>
      <c r="T42" s="38" t="s">
        <v>483</v>
      </c>
      <c r="U42" s="17" t="s">
        <v>359</v>
      </c>
      <c r="V42" s="17" t="s">
        <v>360</v>
      </c>
      <c r="W42" s="38"/>
    </row>
    <row r="43" customFormat="false" ht="15" hidden="false" customHeight="false" outlineLevel="0" collapsed="false">
      <c r="A43" s="25" t="s">
        <v>484</v>
      </c>
      <c r="B43" s="25" t="s">
        <v>66</v>
      </c>
      <c r="C43" s="25" t="s">
        <v>67</v>
      </c>
      <c r="D43" s="32" t="s">
        <v>485</v>
      </c>
      <c r="E43" s="32" t="s">
        <v>486</v>
      </c>
      <c r="F43" s="25" t="s">
        <v>443</v>
      </c>
      <c r="G43" s="32" t="s">
        <v>479</v>
      </c>
      <c r="H43" s="25" t="s">
        <v>302</v>
      </c>
      <c r="I43" s="33" t="n">
        <f aca="false">ROUNDUP(138.56/2,0)+10*2+12*2+7*4</f>
        <v>142</v>
      </c>
      <c r="J43" s="34"/>
      <c r="K43" s="34"/>
      <c r="L43" s="34"/>
      <c r="M43" s="34"/>
      <c r="N43" s="34"/>
      <c r="O43" s="35" t="n">
        <f aca="false">IF(I43="",1,I43)*IF(J43="",1,J43)*IF(K43="",1,K43)*IF(L43="",1,L43)*IF(M43="",1,M43)-N(N43)</f>
        <v>142</v>
      </c>
      <c r="P43" s="17" t="s">
        <v>345</v>
      </c>
      <c r="Q43" s="36" t="n">
        <v>0.1</v>
      </c>
      <c r="R43" s="35" t="n">
        <f aca="false">IF(S43="Y",ROUNDUP(O43*(1+Q43),0),O43*(1+Q43))</f>
        <v>157</v>
      </c>
      <c r="S43" s="37" t="s">
        <v>388</v>
      </c>
      <c r="T43" s="38" t="s">
        <v>487</v>
      </c>
      <c r="U43" s="17" t="s">
        <v>359</v>
      </c>
      <c r="V43" s="17" t="s">
        <v>323</v>
      </c>
      <c r="W43" s="38"/>
    </row>
    <row r="44" customFormat="false" ht="15" hidden="false" customHeight="false" outlineLevel="0" collapsed="false">
      <c r="A44" s="25" t="s">
        <v>488</v>
      </c>
      <c r="B44" s="25" t="s">
        <v>66</v>
      </c>
      <c r="C44" s="25" t="s">
        <v>67</v>
      </c>
      <c r="D44" s="32" t="s">
        <v>489</v>
      </c>
      <c r="E44" s="32"/>
      <c r="F44" s="25" t="s">
        <v>134</v>
      </c>
      <c r="G44" s="32" t="s">
        <v>490</v>
      </c>
      <c r="H44" s="25" t="s">
        <v>400</v>
      </c>
      <c r="I44" s="34"/>
      <c r="J44" s="33" t="n">
        <v>60</v>
      </c>
      <c r="K44" s="34"/>
      <c r="L44" s="34"/>
      <c r="M44" s="34"/>
      <c r="N44" s="34"/>
      <c r="O44" s="35" t="n">
        <f aca="false">IF(I44="",1,I44)*IF(J44="",1,J44)*IF(K44="",1,K44)*IF(L44="",1,L44)*IF(M44="",1,M44)-N(N44)</f>
        <v>60</v>
      </c>
      <c r="P44" s="17" t="s">
        <v>401</v>
      </c>
      <c r="Q44" s="36" t="n">
        <v>0</v>
      </c>
      <c r="R44" s="35" t="n">
        <f aca="false">IF(S44="Y",ROUNDUP(O44*(1+Q44),0),O44*(1+Q44))</f>
        <v>60</v>
      </c>
      <c r="S44" s="37" t="s">
        <v>322</v>
      </c>
      <c r="T44" s="38" t="s">
        <v>491</v>
      </c>
      <c r="U44" s="17" t="s">
        <v>181</v>
      </c>
      <c r="V44" s="17" t="s">
        <v>323</v>
      </c>
      <c r="W44" s="38"/>
    </row>
    <row r="45" customFormat="false" ht="23.85" hidden="false" customHeight="false" outlineLevel="0" collapsed="false">
      <c r="A45" s="25" t="s">
        <v>492</v>
      </c>
      <c r="B45" s="25" t="s">
        <v>66</v>
      </c>
      <c r="C45" s="25" t="s">
        <v>67</v>
      </c>
      <c r="D45" s="32" t="s">
        <v>493</v>
      </c>
      <c r="E45" s="32"/>
      <c r="F45" s="25" t="s">
        <v>122</v>
      </c>
      <c r="G45" s="32" t="s">
        <v>494</v>
      </c>
      <c r="H45" s="25" t="s">
        <v>400</v>
      </c>
      <c r="I45" s="34"/>
      <c r="J45" s="33" t="n">
        <v>250</v>
      </c>
      <c r="K45" s="34"/>
      <c r="L45" s="34"/>
      <c r="M45" s="34"/>
      <c r="N45" s="34"/>
      <c r="O45" s="35" t="n">
        <f aca="false">IF(I45="",1,I45)*IF(J45="",1,J45)*IF(K45="",1,K45)*IF(L45="",1,L45)*IF(M45="",1,M45)-N(N45)</f>
        <v>250</v>
      </c>
      <c r="P45" s="17" t="s">
        <v>401</v>
      </c>
      <c r="Q45" s="36" t="n">
        <v>0</v>
      </c>
      <c r="R45" s="35" t="n">
        <f aca="false">IF(S45="Y",ROUNDUP(O45*(1+Q45),0),O45*(1+Q45))</f>
        <v>250</v>
      </c>
      <c r="S45" s="37" t="s">
        <v>322</v>
      </c>
      <c r="T45" s="38"/>
      <c r="U45" s="17" t="s">
        <v>320</v>
      </c>
      <c r="V45" s="17" t="s">
        <v>323</v>
      </c>
      <c r="W45" s="38"/>
    </row>
    <row r="46" customFormat="false" ht="23.85" hidden="false" customHeight="false" outlineLevel="0" collapsed="false">
      <c r="A46" s="25" t="s">
        <v>495</v>
      </c>
      <c r="B46" s="25" t="s">
        <v>66</v>
      </c>
      <c r="C46" s="25" t="s">
        <v>67</v>
      </c>
      <c r="D46" s="32" t="s">
        <v>496</v>
      </c>
      <c r="E46" s="32" t="s">
        <v>497</v>
      </c>
      <c r="F46" s="25" t="s">
        <v>498</v>
      </c>
      <c r="G46" s="32" t="s">
        <v>499</v>
      </c>
      <c r="H46" s="25" t="s">
        <v>302</v>
      </c>
      <c r="I46" s="33" t="n">
        <v>17</v>
      </c>
      <c r="J46" s="34"/>
      <c r="K46" s="34"/>
      <c r="L46" s="34"/>
      <c r="M46" s="34"/>
      <c r="N46" s="34"/>
      <c r="O46" s="35" t="n">
        <f aca="false">IF(I46="",1,I46)*IF(J46="",1,J46)*IF(K46="",1,K46)*IF(L46="",1,L46)*IF(M46="",1,M46)-N(N46)</f>
        <v>17</v>
      </c>
      <c r="P46" s="17" t="s">
        <v>345</v>
      </c>
      <c r="Q46" s="36" t="n">
        <v>0</v>
      </c>
      <c r="R46" s="35" t="n">
        <f aca="false">IF(S46="Y",ROUNDUP(O46*(1+Q46),0),O46*(1+Q46))</f>
        <v>17</v>
      </c>
      <c r="S46" s="37" t="s">
        <v>322</v>
      </c>
      <c r="T46" s="38" t="s">
        <v>500</v>
      </c>
      <c r="U46" s="17" t="s">
        <v>359</v>
      </c>
      <c r="V46" s="17" t="s">
        <v>323</v>
      </c>
      <c r="W46" s="38" t="s">
        <v>501</v>
      </c>
    </row>
    <row r="47" customFormat="false" ht="23.85" hidden="false" customHeight="false" outlineLevel="0" collapsed="false">
      <c r="A47" s="25" t="s">
        <v>502</v>
      </c>
      <c r="B47" s="25" t="s">
        <v>66</v>
      </c>
      <c r="C47" s="25" t="s">
        <v>67</v>
      </c>
      <c r="D47" s="32" t="s">
        <v>503</v>
      </c>
      <c r="E47" s="32" t="s">
        <v>504</v>
      </c>
      <c r="F47" s="25" t="s">
        <v>505</v>
      </c>
      <c r="G47" s="32" t="s">
        <v>506</v>
      </c>
      <c r="H47" s="25" t="s">
        <v>302</v>
      </c>
      <c r="I47" s="33" t="n">
        <v>6</v>
      </c>
      <c r="J47" s="34"/>
      <c r="K47" s="34"/>
      <c r="L47" s="34"/>
      <c r="M47" s="34"/>
      <c r="N47" s="34"/>
      <c r="O47" s="35" t="n">
        <f aca="false">IF(I47="",1,I47)*IF(J47="",1,J47)*IF(K47="",1,K47)*IF(L47="",1,L47)*IF(M47="",1,M47)-N(N47)</f>
        <v>6</v>
      </c>
      <c r="P47" s="17" t="s">
        <v>345</v>
      </c>
      <c r="Q47" s="36" t="n">
        <v>0</v>
      </c>
      <c r="R47" s="35" t="n">
        <f aca="false">IF(S47="Y",ROUNDUP(O47*(1+Q47),0),O47*(1+Q47))</f>
        <v>6</v>
      </c>
      <c r="S47" s="37" t="s">
        <v>322</v>
      </c>
      <c r="T47" s="38" t="s">
        <v>507</v>
      </c>
      <c r="U47" s="17" t="s">
        <v>359</v>
      </c>
      <c r="V47" s="17" t="s">
        <v>323</v>
      </c>
      <c r="W47" s="38"/>
    </row>
    <row r="48" customFormat="false" ht="15" hidden="false" customHeight="false" outlineLevel="0" collapsed="false">
      <c r="A48" s="25" t="s">
        <v>508</v>
      </c>
      <c r="B48" s="25" t="s">
        <v>66</v>
      </c>
      <c r="C48" s="25" t="s">
        <v>67</v>
      </c>
      <c r="D48" s="32" t="s">
        <v>509</v>
      </c>
      <c r="E48" s="32"/>
      <c r="F48" s="25" t="s">
        <v>128</v>
      </c>
      <c r="G48" s="32" t="s">
        <v>510</v>
      </c>
      <c r="H48" s="25" t="s">
        <v>302</v>
      </c>
      <c r="I48" s="33" t="n">
        <v>2</v>
      </c>
      <c r="J48" s="34"/>
      <c r="K48" s="34"/>
      <c r="L48" s="34"/>
      <c r="M48" s="34"/>
      <c r="N48" s="34"/>
      <c r="O48" s="35" t="n">
        <f aca="false">IF(I48="",1,I48)*IF(J48="",1,J48)*IF(K48="",1,K48)*IF(L48="",1,L48)*IF(M48="",1,M48)-N(N48)</f>
        <v>2</v>
      </c>
      <c r="P48" s="17" t="s">
        <v>345</v>
      </c>
      <c r="Q48" s="36" t="n">
        <v>0</v>
      </c>
      <c r="R48" s="35" t="n">
        <f aca="false">IF(S48="Y",ROUNDUP(O48*(1+Q48),0),O48*(1+Q48))</f>
        <v>2</v>
      </c>
      <c r="S48" s="37" t="s">
        <v>322</v>
      </c>
      <c r="T48" s="38" t="s">
        <v>511</v>
      </c>
      <c r="U48" s="17" t="s">
        <v>359</v>
      </c>
      <c r="V48" s="17" t="s">
        <v>323</v>
      </c>
      <c r="W48" s="38"/>
    </row>
    <row r="49" customFormat="false" ht="28.35" hidden="false" customHeight="false" outlineLevel="0" collapsed="false">
      <c r="A49" s="25" t="s">
        <v>512</v>
      </c>
      <c r="B49" s="25" t="s">
        <v>66</v>
      </c>
      <c r="C49" s="25" t="s">
        <v>67</v>
      </c>
      <c r="D49" s="32" t="s">
        <v>513</v>
      </c>
      <c r="E49" s="32" t="s">
        <v>514</v>
      </c>
      <c r="F49" s="25" t="s">
        <v>139</v>
      </c>
      <c r="G49" s="32" t="s">
        <v>515</v>
      </c>
      <c r="H49" s="25" t="s">
        <v>400</v>
      </c>
      <c r="I49" s="33" t="n">
        <v>14</v>
      </c>
      <c r="J49" s="33" t="n">
        <v>96.08</v>
      </c>
      <c r="K49" s="34"/>
      <c r="L49" s="34"/>
      <c r="M49" s="34"/>
      <c r="N49" s="34"/>
      <c r="O49" s="35" t="n">
        <f aca="false">IF(I49="",1,I49)*IF(J49="",1,J49)*IF(K49="",1,K49)*IF(L49="",1,L49)*IF(M49="",1,M49)-N(N49)</f>
        <v>1345.12</v>
      </c>
      <c r="P49" s="17" t="s">
        <v>401</v>
      </c>
      <c r="Q49" s="36" t="n">
        <v>0.1</v>
      </c>
      <c r="R49" s="35" t="n">
        <f aca="false">IF(S49="Y",ROUNDUP(O49*(1+Q49),0),O49*(1+Q49))</f>
        <v>1479.632</v>
      </c>
      <c r="S49" s="37" t="s">
        <v>322</v>
      </c>
      <c r="T49" s="38" t="s">
        <v>516</v>
      </c>
      <c r="U49" s="17" t="s">
        <v>181</v>
      </c>
      <c r="V49" s="17" t="s">
        <v>380</v>
      </c>
      <c r="W49" s="38" t="s">
        <v>517</v>
      </c>
    </row>
    <row r="50" customFormat="false" ht="15" hidden="false" customHeight="false" outlineLevel="0" collapsed="false">
      <c r="A50" s="25" t="s">
        <v>518</v>
      </c>
      <c r="B50" s="25" t="s">
        <v>66</v>
      </c>
      <c r="C50" s="25" t="s">
        <v>67</v>
      </c>
      <c r="D50" s="32" t="s">
        <v>519</v>
      </c>
      <c r="E50" s="32" t="s">
        <v>520</v>
      </c>
      <c r="F50" s="25" t="s">
        <v>139</v>
      </c>
      <c r="G50" s="32" t="s">
        <v>521</v>
      </c>
      <c r="H50" s="25" t="s">
        <v>400</v>
      </c>
      <c r="I50" s="33" t="n">
        <v>10</v>
      </c>
      <c r="J50" s="33" t="n">
        <v>63.08</v>
      </c>
      <c r="K50" s="34"/>
      <c r="L50" s="34"/>
      <c r="M50" s="34"/>
      <c r="N50" s="34"/>
      <c r="O50" s="35" t="n">
        <f aca="false">IF(I50="",1,I50)*IF(J50="",1,J50)*IF(K50="",1,K50)*IF(L50="",1,L50)*IF(M50="",1,M50)-N(N50)</f>
        <v>630.8</v>
      </c>
      <c r="P50" s="17" t="s">
        <v>401</v>
      </c>
      <c r="Q50" s="36" t="n">
        <v>0.1</v>
      </c>
      <c r="R50" s="35" t="n">
        <f aca="false">IF(S50="Y",ROUNDUP(O50*(1+Q50),0),O50*(1+Q50))</f>
        <v>693.88</v>
      </c>
      <c r="S50" s="37" t="s">
        <v>322</v>
      </c>
      <c r="T50" s="38" t="s">
        <v>522</v>
      </c>
      <c r="U50" s="17" t="s">
        <v>181</v>
      </c>
      <c r="V50" s="17" t="s">
        <v>323</v>
      </c>
      <c r="W50" s="38"/>
    </row>
    <row r="51" customFormat="false" ht="15" hidden="false" customHeight="false" outlineLevel="0" collapsed="false">
      <c r="A51" s="25" t="s">
        <v>523</v>
      </c>
      <c r="B51" s="25" t="s">
        <v>66</v>
      </c>
      <c r="C51" s="25" t="s">
        <v>67</v>
      </c>
      <c r="D51" s="32" t="s">
        <v>524</v>
      </c>
      <c r="E51" s="32" t="s">
        <v>525</v>
      </c>
      <c r="F51" s="25" t="s">
        <v>505</v>
      </c>
      <c r="G51" s="32" t="s">
        <v>526</v>
      </c>
      <c r="H51" s="25" t="s">
        <v>400</v>
      </c>
      <c r="I51" s="34"/>
      <c r="J51" s="33" t="n">
        <v>153.94</v>
      </c>
      <c r="K51" s="34"/>
      <c r="L51" s="34"/>
      <c r="M51" s="34"/>
      <c r="N51" s="34"/>
      <c r="O51" s="35" t="n">
        <f aca="false">IF(I51="",1,I51)*IF(J51="",1,J51)*IF(K51="",1,K51)*IF(L51="",1,L51)*IF(M51="",1,M51)-N(N51)</f>
        <v>153.94</v>
      </c>
      <c r="P51" s="17" t="s">
        <v>401</v>
      </c>
      <c r="Q51" s="36" t="n">
        <v>0.1</v>
      </c>
      <c r="R51" s="35" t="n">
        <f aca="false">IF(S51="Y",ROUNDUP(O51*(1+Q51),0),O51*(1+Q51))</f>
        <v>169.334</v>
      </c>
      <c r="S51" s="37" t="s">
        <v>322</v>
      </c>
      <c r="T51" s="38" t="s">
        <v>527</v>
      </c>
      <c r="U51" s="17" t="s">
        <v>359</v>
      </c>
      <c r="V51" s="17" t="s">
        <v>323</v>
      </c>
      <c r="W51" s="38"/>
    </row>
    <row r="52" customFormat="false" ht="15" hidden="false" customHeight="false" outlineLevel="0" collapsed="false">
      <c r="A52" s="25" t="s">
        <v>528</v>
      </c>
      <c r="B52" s="25" t="s">
        <v>66</v>
      </c>
      <c r="C52" s="25" t="s">
        <v>67</v>
      </c>
      <c r="D52" s="32" t="s">
        <v>529</v>
      </c>
      <c r="E52" s="32"/>
      <c r="F52" s="25" t="s">
        <v>505</v>
      </c>
      <c r="G52" s="32" t="s">
        <v>506</v>
      </c>
      <c r="H52" s="25" t="s">
        <v>400</v>
      </c>
      <c r="I52" s="33" t="n">
        <v>13</v>
      </c>
      <c r="J52" s="33" t="n">
        <v>29.92</v>
      </c>
      <c r="K52" s="34"/>
      <c r="L52" s="34"/>
      <c r="M52" s="34"/>
      <c r="N52" s="34"/>
      <c r="O52" s="35" t="n">
        <f aca="false">IF(I52="",1,I52)*IF(J52="",1,J52)*IF(K52="",1,K52)*IF(L52="",1,L52)*IF(M52="",1,M52)-N(N52)</f>
        <v>388.96</v>
      </c>
      <c r="P52" s="17" t="s">
        <v>401</v>
      </c>
      <c r="Q52" s="36" t="n">
        <v>0.1</v>
      </c>
      <c r="R52" s="35" t="n">
        <f aca="false">IF(S52="Y",ROUNDUP(O52*(1+Q52),0),O52*(1+Q52))</f>
        <v>427.856</v>
      </c>
      <c r="S52" s="37" t="s">
        <v>322</v>
      </c>
      <c r="T52" s="38" t="s">
        <v>530</v>
      </c>
      <c r="U52" s="17" t="s">
        <v>181</v>
      </c>
      <c r="V52" s="17" t="s">
        <v>323</v>
      </c>
      <c r="W52" s="38"/>
    </row>
    <row r="53" customFormat="false" ht="15" hidden="false" customHeight="false" outlineLevel="0" collapsed="false">
      <c r="A53" s="25" t="s">
        <v>531</v>
      </c>
      <c r="B53" s="25" t="s">
        <v>66</v>
      </c>
      <c r="C53" s="25" t="s">
        <v>67</v>
      </c>
      <c r="D53" s="32" t="s">
        <v>532</v>
      </c>
      <c r="E53" s="32"/>
      <c r="F53" s="25" t="s">
        <v>142</v>
      </c>
      <c r="G53" s="32" t="s">
        <v>515</v>
      </c>
      <c r="H53" s="25" t="s">
        <v>400</v>
      </c>
      <c r="I53" s="34"/>
      <c r="J53" s="33" t="n">
        <v>400</v>
      </c>
      <c r="K53" s="34"/>
      <c r="L53" s="34"/>
      <c r="M53" s="34"/>
      <c r="N53" s="34"/>
      <c r="O53" s="35" t="n">
        <f aca="false">IF(I53="",1,I53)*IF(J53="",1,J53)*IF(K53="",1,K53)*IF(L53="",1,L53)*IF(M53="",1,M53)-N(N53)</f>
        <v>400</v>
      </c>
      <c r="P53" s="17" t="s">
        <v>401</v>
      </c>
      <c r="Q53" s="36" t="n">
        <v>0</v>
      </c>
      <c r="R53" s="35" t="n">
        <f aca="false">IF(S53="Y",ROUNDUP(O53*(1+Q53),0),O53*(1+Q53))</f>
        <v>400</v>
      </c>
      <c r="S53" s="37" t="s">
        <v>322</v>
      </c>
      <c r="T53" s="38"/>
      <c r="U53" s="17" t="s">
        <v>320</v>
      </c>
      <c r="V53" s="17" t="s">
        <v>323</v>
      </c>
      <c r="W53" s="38"/>
    </row>
    <row r="54" customFormat="false" ht="15" hidden="false" customHeight="false" outlineLevel="0" collapsed="false">
      <c r="A54" s="25" t="s">
        <v>533</v>
      </c>
      <c r="B54" s="25" t="s">
        <v>66</v>
      </c>
      <c r="C54" s="25" t="s">
        <v>67</v>
      </c>
      <c r="D54" s="32" t="s">
        <v>534</v>
      </c>
      <c r="E54" s="32"/>
      <c r="F54" s="25" t="s">
        <v>128</v>
      </c>
      <c r="G54" s="32" t="s">
        <v>535</v>
      </c>
      <c r="H54" s="25" t="s">
        <v>400</v>
      </c>
      <c r="I54" s="34"/>
      <c r="J54" s="33" t="n">
        <v>243.6</v>
      </c>
      <c r="K54" s="34"/>
      <c r="L54" s="34"/>
      <c r="M54" s="34"/>
      <c r="N54" s="34"/>
      <c r="O54" s="35" t="n">
        <f aca="false">IF(I54="",1,I54)*IF(J54="",1,J54)*IF(K54="",1,K54)*IF(L54="",1,L54)*IF(M54="",1,M54)-N(N54)</f>
        <v>243.6</v>
      </c>
      <c r="P54" s="17" t="s">
        <v>401</v>
      </c>
      <c r="Q54" s="36" t="n">
        <v>0.1</v>
      </c>
      <c r="R54" s="35" t="n">
        <f aca="false">IF(S54="Y",ROUNDUP(O54*(1+Q54),0),O54*(1+Q54))</f>
        <v>267.96</v>
      </c>
      <c r="S54" s="37" t="s">
        <v>322</v>
      </c>
      <c r="T54" s="38" t="s">
        <v>536</v>
      </c>
      <c r="U54" s="17" t="s">
        <v>359</v>
      </c>
      <c r="V54" s="17" t="s">
        <v>360</v>
      </c>
      <c r="W54" s="38"/>
    </row>
    <row r="55" customFormat="false" ht="15" hidden="false" customHeight="false" outlineLevel="0" collapsed="false">
      <c r="A55" s="25" t="s">
        <v>537</v>
      </c>
      <c r="B55" s="25" t="s">
        <v>66</v>
      </c>
      <c r="C55" s="25" t="s">
        <v>67</v>
      </c>
      <c r="D55" s="32" t="s">
        <v>538</v>
      </c>
      <c r="E55" s="32"/>
      <c r="F55" s="25" t="s">
        <v>128</v>
      </c>
      <c r="G55" s="32" t="s">
        <v>535</v>
      </c>
      <c r="H55" s="25" t="s">
        <v>400</v>
      </c>
      <c r="I55" s="34"/>
      <c r="J55" s="33" t="n">
        <v>200</v>
      </c>
      <c r="K55" s="34"/>
      <c r="L55" s="34"/>
      <c r="M55" s="34"/>
      <c r="N55" s="34"/>
      <c r="O55" s="35" t="n">
        <f aca="false">IF(I55="",1,I55)*IF(J55="",1,J55)*IF(K55="",1,K55)*IF(L55="",1,L55)*IF(M55="",1,M55)-N(N55)</f>
        <v>200</v>
      </c>
      <c r="P55" s="17" t="s">
        <v>401</v>
      </c>
      <c r="Q55" s="36" t="n">
        <v>0</v>
      </c>
      <c r="R55" s="35" t="n">
        <f aca="false">IF(S55="Y",ROUNDUP(O55*(1+Q55),0),O55*(1+Q55))</f>
        <v>200</v>
      </c>
      <c r="S55" s="37" t="s">
        <v>322</v>
      </c>
      <c r="T55" s="38"/>
      <c r="U55" s="17" t="s">
        <v>320</v>
      </c>
      <c r="V55" s="17" t="s">
        <v>323</v>
      </c>
      <c r="W55" s="38"/>
    </row>
    <row r="56" customFormat="false" ht="23.85" hidden="false" customHeight="false" outlineLevel="0" collapsed="false">
      <c r="A56" s="25" t="s">
        <v>539</v>
      </c>
      <c r="B56" s="25" t="s">
        <v>66</v>
      </c>
      <c r="C56" s="25" t="s">
        <v>67</v>
      </c>
      <c r="D56" s="32" t="s">
        <v>540</v>
      </c>
      <c r="E56" s="32" t="s">
        <v>541</v>
      </c>
      <c r="F56" s="25" t="s">
        <v>542</v>
      </c>
      <c r="G56" s="32" t="s">
        <v>506</v>
      </c>
      <c r="H56" s="25" t="s">
        <v>400</v>
      </c>
      <c r="I56" s="34"/>
      <c r="J56" s="33" t="n">
        <v>72</v>
      </c>
      <c r="K56" s="34"/>
      <c r="L56" s="34"/>
      <c r="M56" s="34"/>
      <c r="N56" s="34"/>
      <c r="O56" s="35" t="n">
        <f aca="false">IF(I56="",1,I56)*IF(J56="",1,J56)*IF(K56="",1,K56)*IF(L56="",1,L56)*IF(M56="",1,M56)-N(N56)</f>
        <v>72</v>
      </c>
      <c r="P56" s="17" t="s">
        <v>401</v>
      </c>
      <c r="Q56" s="36" t="n">
        <v>0</v>
      </c>
      <c r="R56" s="35" t="n">
        <f aca="false">IF(S56="Y",ROUNDUP(O56*(1+Q56),0),O56*(1+Q56))</f>
        <v>72</v>
      </c>
      <c r="S56" s="37" t="s">
        <v>322</v>
      </c>
      <c r="T56" s="38" t="s">
        <v>543</v>
      </c>
      <c r="U56" s="17" t="s">
        <v>181</v>
      </c>
      <c r="V56" s="17" t="s">
        <v>380</v>
      </c>
      <c r="W56" s="38" t="s">
        <v>544</v>
      </c>
    </row>
    <row r="57" customFormat="false" ht="15" hidden="false" customHeight="false" outlineLevel="0" collapsed="false">
      <c r="A57" s="25" t="s">
        <v>545</v>
      </c>
      <c r="B57" s="25" t="s">
        <v>66</v>
      </c>
      <c r="C57" s="25" t="s">
        <v>67</v>
      </c>
      <c r="D57" s="32" t="s">
        <v>546</v>
      </c>
      <c r="E57" s="32"/>
      <c r="F57" s="25" t="s">
        <v>122</v>
      </c>
      <c r="G57" s="32" t="s">
        <v>458</v>
      </c>
      <c r="H57" s="25" t="s">
        <v>302</v>
      </c>
      <c r="I57" s="33" t="n">
        <v>2</v>
      </c>
      <c r="J57" s="34"/>
      <c r="K57" s="34"/>
      <c r="L57" s="34"/>
      <c r="M57" s="34"/>
      <c r="N57" s="34"/>
      <c r="O57" s="35" t="n">
        <f aca="false">IF(I57="",1,I57)*IF(J57="",1,J57)*IF(K57="",1,K57)*IF(L57="",1,L57)*IF(M57="",1,M57)-N(N57)</f>
        <v>2</v>
      </c>
      <c r="P57" s="17" t="s">
        <v>345</v>
      </c>
      <c r="Q57" s="36" t="n">
        <v>0</v>
      </c>
      <c r="R57" s="35" t="n">
        <f aca="false">IF(S57="Y",ROUNDUP(O57*(1+Q57),0),O57*(1+Q57))</f>
        <v>2</v>
      </c>
      <c r="S57" s="37" t="s">
        <v>322</v>
      </c>
      <c r="T57" s="38" t="s">
        <v>547</v>
      </c>
      <c r="U57" s="17" t="s">
        <v>460</v>
      </c>
      <c r="V57" s="17" t="s">
        <v>323</v>
      </c>
      <c r="W57" s="38"/>
    </row>
    <row r="58" customFormat="false" ht="28.35" hidden="false" customHeight="false" outlineLevel="0" collapsed="false">
      <c r="A58" s="25" t="s">
        <v>548</v>
      </c>
      <c r="B58" s="25" t="s">
        <v>66</v>
      </c>
      <c r="C58" s="25" t="s">
        <v>67</v>
      </c>
      <c r="D58" s="32" t="s">
        <v>549</v>
      </c>
      <c r="E58" s="32" t="s">
        <v>550</v>
      </c>
      <c r="F58" s="25" t="s">
        <v>498</v>
      </c>
      <c r="G58" s="32" t="s">
        <v>551</v>
      </c>
      <c r="H58" s="25" t="s">
        <v>356</v>
      </c>
      <c r="I58" s="34"/>
      <c r="J58" s="34"/>
      <c r="K58" s="34"/>
      <c r="L58" s="34"/>
      <c r="M58" s="34"/>
      <c r="N58" s="34"/>
      <c r="O58" s="35" t="n">
        <f aca="false">(140.167*9+2*21*9+2*55.12)/36</f>
        <v>48.6039722222222</v>
      </c>
      <c r="P58" s="17" t="s">
        <v>552</v>
      </c>
      <c r="Q58" s="36" t="n">
        <v>0.1</v>
      </c>
      <c r="R58" s="35" t="n">
        <f aca="false">IF(S58="Y",ROUNDUP(O58*(1+Q58),0),O58*(1+Q58))</f>
        <v>54</v>
      </c>
      <c r="S58" s="37" t="s">
        <v>388</v>
      </c>
      <c r="T58" s="38" t="s">
        <v>553</v>
      </c>
      <c r="U58" s="17" t="s">
        <v>359</v>
      </c>
      <c r="V58" s="17" t="s">
        <v>360</v>
      </c>
      <c r="W58" s="38"/>
    </row>
    <row r="59" customFormat="false" ht="15" hidden="false" customHeight="false" outlineLevel="0" collapsed="false">
      <c r="A59" s="25" t="s">
        <v>554</v>
      </c>
      <c r="B59" s="25" t="s">
        <v>66</v>
      </c>
      <c r="C59" s="25" t="s">
        <v>67</v>
      </c>
      <c r="D59" s="32" t="s">
        <v>555</v>
      </c>
      <c r="E59" s="32" t="s">
        <v>556</v>
      </c>
      <c r="F59" s="25" t="s">
        <v>498</v>
      </c>
      <c r="G59" s="32" t="s">
        <v>515</v>
      </c>
      <c r="H59" s="25" t="s">
        <v>356</v>
      </c>
      <c r="I59" s="34"/>
      <c r="J59" s="34"/>
      <c r="K59" s="34"/>
      <c r="L59" s="34"/>
      <c r="M59" s="34"/>
      <c r="N59" s="34"/>
      <c r="O59" s="35" t="n">
        <f aca="false">96.083*11.5*1.118*2/32</f>
        <v>77.2086956875</v>
      </c>
      <c r="P59" s="17" t="s">
        <v>552</v>
      </c>
      <c r="Q59" s="36" t="n">
        <v>0.1</v>
      </c>
      <c r="R59" s="35" t="n">
        <f aca="false">IF(S59="Y",ROUNDUP(O59*(1+Q59),0),O59*(1+Q59))</f>
        <v>85</v>
      </c>
      <c r="S59" s="37" t="s">
        <v>388</v>
      </c>
      <c r="T59" s="38" t="s">
        <v>557</v>
      </c>
      <c r="U59" s="17" t="s">
        <v>359</v>
      </c>
      <c r="V59" s="17" t="s">
        <v>360</v>
      </c>
      <c r="W59" s="38"/>
    </row>
    <row r="60" customFormat="false" ht="15" hidden="false" customHeight="false" outlineLevel="0" collapsed="false">
      <c r="A60" s="25" t="s">
        <v>558</v>
      </c>
      <c r="B60" s="25" t="s">
        <v>66</v>
      </c>
      <c r="C60" s="25" t="s">
        <v>67</v>
      </c>
      <c r="D60" s="32" t="s">
        <v>559</v>
      </c>
      <c r="E60" s="32" t="s">
        <v>560</v>
      </c>
      <c r="F60" s="25" t="s">
        <v>139</v>
      </c>
      <c r="G60" s="32" t="s">
        <v>561</v>
      </c>
      <c r="H60" s="25" t="s">
        <v>302</v>
      </c>
      <c r="I60" s="34"/>
      <c r="J60" s="34"/>
      <c r="K60" s="34"/>
      <c r="L60" s="34"/>
      <c r="M60" s="34"/>
      <c r="N60" s="34"/>
      <c r="O60" s="35" t="n">
        <f aca="false">(R58+R59)/7</f>
        <v>19.8571428571429</v>
      </c>
      <c r="P60" s="17" t="s">
        <v>562</v>
      </c>
      <c r="Q60" s="36" t="n">
        <v>0</v>
      </c>
      <c r="R60" s="35" t="n">
        <f aca="false">IF(S60="Y",ROUNDUP(O60*(1+Q60),0),O60*(1+Q60))</f>
        <v>20</v>
      </c>
      <c r="S60" s="37" t="s">
        <v>388</v>
      </c>
      <c r="T60" s="38" t="s">
        <v>563</v>
      </c>
      <c r="U60" s="17" t="s">
        <v>359</v>
      </c>
      <c r="V60" s="17" t="s">
        <v>360</v>
      </c>
      <c r="W60" s="38"/>
    </row>
    <row r="61" customFormat="false" ht="15" hidden="false" customHeight="false" outlineLevel="0" collapsed="false">
      <c r="A61" s="25" t="s">
        <v>564</v>
      </c>
      <c r="B61" s="25" t="s">
        <v>66</v>
      </c>
      <c r="C61" s="25" t="s">
        <v>67</v>
      </c>
      <c r="D61" s="32" t="s">
        <v>565</v>
      </c>
      <c r="E61" s="32"/>
      <c r="F61" s="25" t="s">
        <v>134</v>
      </c>
      <c r="G61" s="32" t="s">
        <v>71</v>
      </c>
      <c r="H61" s="25" t="s">
        <v>320</v>
      </c>
      <c r="I61" s="33" t="n">
        <v>1</v>
      </c>
      <c r="J61" s="34"/>
      <c r="K61" s="34"/>
      <c r="L61" s="34"/>
      <c r="M61" s="34"/>
      <c r="N61" s="34"/>
      <c r="O61" s="35" t="n">
        <f aca="false">IF(I61="",1,I61)*IF(J61="",1,J61)*IF(K61="",1,K61)*IF(L61="",1,L61)*IF(M61="",1,M61)-N(N61)</f>
        <v>1</v>
      </c>
      <c r="P61" s="17" t="s">
        <v>321</v>
      </c>
      <c r="Q61" s="36" t="n">
        <v>0</v>
      </c>
      <c r="R61" s="35" t="n">
        <f aca="false">IF(S61="Y",ROUNDUP(O61*(1+Q61),0),O61*(1+Q61))</f>
        <v>1</v>
      </c>
      <c r="S61" s="37" t="s">
        <v>322</v>
      </c>
      <c r="T61" s="38"/>
      <c r="U61" s="17" t="s">
        <v>320</v>
      </c>
      <c r="V61" s="17" t="s">
        <v>323</v>
      </c>
      <c r="W61" s="38"/>
    </row>
    <row r="62" customFormat="false" ht="15" hidden="false" customHeight="false" outlineLevel="0" collapsed="false">
      <c r="A62" s="25" t="s">
        <v>566</v>
      </c>
      <c r="B62" s="25" t="s">
        <v>66</v>
      </c>
      <c r="C62" s="25" t="s">
        <v>67</v>
      </c>
      <c r="D62" s="32" t="s">
        <v>567</v>
      </c>
      <c r="E62" s="32"/>
      <c r="F62" s="25" t="s">
        <v>142</v>
      </c>
      <c r="G62" s="32" t="s">
        <v>568</v>
      </c>
      <c r="H62" s="25" t="s">
        <v>320</v>
      </c>
      <c r="I62" s="33" t="n">
        <v>1</v>
      </c>
      <c r="J62" s="34"/>
      <c r="K62" s="34"/>
      <c r="L62" s="34"/>
      <c r="M62" s="34"/>
      <c r="N62" s="34"/>
      <c r="O62" s="35" t="n">
        <f aca="false">IF(I62="",1,I62)*IF(J62="",1,J62)*IF(K62="",1,K62)*IF(L62="",1,L62)*IF(M62="",1,M62)-N(N62)</f>
        <v>1</v>
      </c>
      <c r="P62" s="17" t="s">
        <v>321</v>
      </c>
      <c r="Q62" s="36" t="n">
        <v>0</v>
      </c>
      <c r="R62" s="35" t="n">
        <f aca="false">IF(S62="Y",ROUNDUP(O62*(1+Q62),0),O62*(1+Q62))</f>
        <v>1</v>
      </c>
      <c r="S62" s="37" t="s">
        <v>322</v>
      </c>
      <c r="T62" s="38"/>
      <c r="U62" s="17" t="s">
        <v>320</v>
      </c>
      <c r="V62" s="17" t="s">
        <v>323</v>
      </c>
      <c r="W62" s="38"/>
    </row>
    <row r="63" customFormat="false" ht="15" hidden="false" customHeight="false" outlineLevel="0" collapsed="false">
      <c r="A63" s="25" t="s">
        <v>569</v>
      </c>
      <c r="B63" s="25" t="s">
        <v>66</v>
      </c>
      <c r="C63" s="25" t="s">
        <v>67</v>
      </c>
      <c r="D63" s="32" t="s">
        <v>570</v>
      </c>
      <c r="E63" s="32"/>
      <c r="F63" s="25" t="s">
        <v>142</v>
      </c>
      <c r="G63" s="32" t="s">
        <v>568</v>
      </c>
      <c r="H63" s="25" t="s">
        <v>356</v>
      </c>
      <c r="I63" s="34"/>
      <c r="J63" s="33" t="n">
        <v>21</v>
      </c>
      <c r="K63" s="33" t="n">
        <v>94.0833333333333</v>
      </c>
      <c r="L63" s="34"/>
      <c r="M63" s="34"/>
      <c r="N63" s="34"/>
      <c r="O63" s="35" t="n">
        <f aca="false">IF(I63="",1,I63)*IF(J63="",1,J63)*IF(K63="",1,K63)*IF(L63="",1,L63)*IF(M63="",1,M63)-N(N63)</f>
        <v>1975.75</v>
      </c>
      <c r="P63" s="17" t="s">
        <v>357</v>
      </c>
      <c r="Q63" s="36" t="n">
        <v>0</v>
      </c>
      <c r="R63" s="35" t="n">
        <f aca="false">IF(S63="Y",ROUNDUP(O63*(1+Q63),0),O63*(1+Q63))</f>
        <v>1975.75</v>
      </c>
      <c r="S63" s="37" t="s">
        <v>322</v>
      </c>
      <c r="T63" s="38" t="s">
        <v>571</v>
      </c>
      <c r="U63" s="17" t="s">
        <v>359</v>
      </c>
      <c r="V63" s="17" t="s">
        <v>360</v>
      </c>
      <c r="W63" s="38"/>
    </row>
    <row r="64" customFormat="false" ht="23.85" hidden="false" customHeight="false" outlineLevel="0" collapsed="false">
      <c r="A64" s="25" t="s">
        <v>572</v>
      </c>
      <c r="B64" s="25" t="s">
        <v>66</v>
      </c>
      <c r="C64" s="25" t="s">
        <v>67</v>
      </c>
      <c r="D64" s="32" t="s">
        <v>573</v>
      </c>
      <c r="E64" s="32"/>
      <c r="F64" s="25" t="s">
        <v>122</v>
      </c>
      <c r="G64" s="32" t="s">
        <v>366</v>
      </c>
      <c r="H64" s="25" t="s">
        <v>356</v>
      </c>
      <c r="I64" s="34"/>
      <c r="J64" s="33" t="n">
        <v>21</v>
      </c>
      <c r="K64" s="33" t="n">
        <v>64.1666666666667</v>
      </c>
      <c r="L64" s="34"/>
      <c r="M64" s="34"/>
      <c r="N64" s="34"/>
      <c r="O64" s="35" t="n">
        <f aca="false">IF(I64="",1,I64)*IF(J64="",1,J64)*IF(K64="",1,K64)*IF(L64="",1,L64)*IF(M64="",1,M64)-N(N64)</f>
        <v>1347.5</v>
      </c>
      <c r="P64" s="17" t="s">
        <v>357</v>
      </c>
      <c r="Q64" s="36" t="n">
        <v>0</v>
      </c>
      <c r="R64" s="35" t="n">
        <f aca="false">IF(S64="Y",ROUNDUP(O64*(1+Q64),0),O64*(1+Q64))</f>
        <v>1347.5</v>
      </c>
      <c r="S64" s="37" t="s">
        <v>322</v>
      </c>
      <c r="T64" s="38" t="s">
        <v>367</v>
      </c>
      <c r="U64" s="17" t="s">
        <v>359</v>
      </c>
      <c r="V64" s="17" t="s">
        <v>360</v>
      </c>
      <c r="W64" s="38"/>
    </row>
    <row r="65" customFormat="false" ht="23.85" hidden="false" customHeight="false" outlineLevel="0" collapsed="false">
      <c r="A65" s="25" t="s">
        <v>574</v>
      </c>
      <c r="B65" s="25" t="s">
        <v>66</v>
      </c>
      <c r="C65" s="25" t="s">
        <v>67</v>
      </c>
      <c r="D65" s="32" t="s">
        <v>575</v>
      </c>
      <c r="E65" s="32"/>
      <c r="F65" s="25" t="s">
        <v>122</v>
      </c>
      <c r="G65" s="32" t="s">
        <v>576</v>
      </c>
      <c r="H65" s="25" t="s">
        <v>356</v>
      </c>
      <c r="I65" s="34"/>
      <c r="J65" s="33" t="n">
        <v>21</v>
      </c>
      <c r="K65" s="33" t="n">
        <v>29.9166666666667</v>
      </c>
      <c r="L65" s="34"/>
      <c r="M65" s="34"/>
      <c r="N65" s="34"/>
      <c r="O65" s="35" t="n">
        <f aca="false">IF(I65="",1,I65)*IF(J65="",1,J65)*IF(K65="",1,K65)*IF(L65="",1,L65)*IF(M65="",1,M65)-N(N65)</f>
        <v>628.25</v>
      </c>
      <c r="P65" s="17" t="s">
        <v>357</v>
      </c>
      <c r="Q65" s="36" t="n">
        <v>0</v>
      </c>
      <c r="R65" s="35" t="n">
        <f aca="false">IF(S65="Y",ROUNDUP(O65*(1+Q65),0),O65*(1+Q65))</f>
        <v>628.25</v>
      </c>
      <c r="S65" s="37" t="s">
        <v>322</v>
      </c>
      <c r="T65" s="38" t="s">
        <v>577</v>
      </c>
      <c r="U65" s="17" t="s">
        <v>359</v>
      </c>
      <c r="V65" s="17" t="s">
        <v>360</v>
      </c>
      <c r="W65" s="38"/>
    </row>
    <row r="66" customFormat="false" ht="15" hidden="false" customHeight="false" outlineLevel="0" collapsed="false">
      <c r="A66" s="25" t="s">
        <v>578</v>
      </c>
      <c r="B66" s="25" t="s">
        <v>66</v>
      </c>
      <c r="C66" s="25" t="s">
        <v>67</v>
      </c>
      <c r="D66" s="32" t="s">
        <v>579</v>
      </c>
      <c r="E66" s="32"/>
      <c r="F66" s="25" t="s">
        <v>142</v>
      </c>
      <c r="G66" s="32" t="s">
        <v>1</v>
      </c>
      <c r="H66" s="25" t="s">
        <v>320</v>
      </c>
      <c r="I66" s="33" t="n">
        <v>1</v>
      </c>
      <c r="J66" s="34"/>
      <c r="K66" s="34"/>
      <c r="L66" s="34"/>
      <c r="M66" s="34"/>
      <c r="N66" s="34"/>
      <c r="O66" s="35" t="n">
        <f aca="false">IF(I66="",1,I66)*IF(J66="",1,J66)*IF(K66="",1,K66)*IF(L66="",1,L66)*IF(M66="",1,M66)-N(N66)</f>
        <v>1</v>
      </c>
      <c r="P66" s="17" t="s">
        <v>321</v>
      </c>
      <c r="Q66" s="36" t="n">
        <v>0</v>
      </c>
      <c r="R66" s="35" t="n">
        <f aca="false">IF(S66="Y",ROUNDUP(O66*(1+Q66),0),O66*(1+Q66))</f>
        <v>1</v>
      </c>
      <c r="S66" s="37" t="s">
        <v>322</v>
      </c>
      <c r="T66" s="38"/>
      <c r="U66" s="17" t="s">
        <v>320</v>
      </c>
      <c r="V66" s="17" t="s">
        <v>323</v>
      </c>
      <c r="W66" s="38"/>
    </row>
    <row r="67" customFormat="false" ht="15" hidden="false" customHeight="false" outlineLevel="0" collapsed="false">
      <c r="A67" s="25" t="s">
        <v>580</v>
      </c>
      <c r="B67" s="25" t="s">
        <v>68</v>
      </c>
      <c r="C67" s="25" t="s">
        <v>69</v>
      </c>
      <c r="D67" s="32" t="s">
        <v>581</v>
      </c>
      <c r="E67" s="32" t="s">
        <v>582</v>
      </c>
      <c r="F67" s="25" t="s">
        <v>122</v>
      </c>
      <c r="G67" s="32" t="s">
        <v>583</v>
      </c>
      <c r="H67" s="25" t="s">
        <v>356</v>
      </c>
      <c r="I67" s="34"/>
      <c r="J67" s="34"/>
      <c r="K67" s="34"/>
      <c r="L67" s="34"/>
      <c r="M67" s="34"/>
      <c r="N67" s="34"/>
      <c r="O67" s="35" t="n">
        <f aca="false">166*9-(221+72)</f>
        <v>1201</v>
      </c>
      <c r="P67" s="17" t="s">
        <v>357</v>
      </c>
      <c r="Q67" s="36" t="n">
        <v>0.05</v>
      </c>
      <c r="R67" s="35" t="n">
        <f aca="false">IF(S67="Y",ROUNDUP(O67*(1+Q67),0),O67*(1+Q67))</f>
        <v>1261.05</v>
      </c>
      <c r="S67" s="37" t="s">
        <v>322</v>
      </c>
      <c r="T67" s="38" t="s">
        <v>584</v>
      </c>
      <c r="U67" s="17" t="s">
        <v>359</v>
      </c>
      <c r="V67" s="17" t="s">
        <v>360</v>
      </c>
      <c r="W67" s="38" t="s">
        <v>585</v>
      </c>
    </row>
    <row r="68" customFormat="false" ht="15" hidden="false" customHeight="false" outlineLevel="0" collapsed="false">
      <c r="A68" s="25" t="s">
        <v>586</v>
      </c>
      <c r="B68" s="25" t="s">
        <v>68</v>
      </c>
      <c r="C68" s="25" t="s">
        <v>69</v>
      </c>
      <c r="D68" s="32" t="s">
        <v>587</v>
      </c>
      <c r="E68" s="32" t="s">
        <v>582</v>
      </c>
      <c r="F68" s="25" t="s">
        <v>505</v>
      </c>
      <c r="G68" s="32" t="s">
        <v>521</v>
      </c>
      <c r="H68" s="25" t="s">
        <v>356</v>
      </c>
      <c r="I68" s="34"/>
      <c r="J68" s="34"/>
      <c r="K68" s="34"/>
      <c r="L68" s="34"/>
      <c r="M68" s="34"/>
      <c r="N68" s="34"/>
      <c r="O68" s="35" t="n">
        <f aca="false">1246.34</f>
        <v>1246.34</v>
      </c>
      <c r="P68" s="17" t="s">
        <v>357</v>
      </c>
      <c r="Q68" s="36" t="n">
        <v>0</v>
      </c>
      <c r="R68" s="35" t="n">
        <f aca="false">IF(S68="Y",ROUNDUP(O68*(1+Q68),0),O68*(1+Q68))</f>
        <v>1246.34</v>
      </c>
      <c r="S68" s="37" t="s">
        <v>322</v>
      </c>
      <c r="T68" s="38" t="s">
        <v>588</v>
      </c>
      <c r="U68" s="17" t="s">
        <v>359</v>
      </c>
      <c r="V68" s="17" t="s">
        <v>360</v>
      </c>
      <c r="W68" s="38"/>
    </row>
    <row r="69" customFormat="false" ht="15" hidden="false" customHeight="false" outlineLevel="0" collapsed="false">
      <c r="A69" s="25" t="s">
        <v>589</v>
      </c>
      <c r="B69" s="25" t="s">
        <v>68</v>
      </c>
      <c r="C69" s="25" t="s">
        <v>69</v>
      </c>
      <c r="D69" s="32" t="s">
        <v>590</v>
      </c>
      <c r="E69" s="32"/>
      <c r="F69" s="25" t="s">
        <v>142</v>
      </c>
      <c r="G69" s="32" t="s">
        <v>591</v>
      </c>
      <c r="H69" s="25" t="s">
        <v>320</v>
      </c>
      <c r="I69" s="33" t="n">
        <v>1</v>
      </c>
      <c r="J69" s="34"/>
      <c r="K69" s="34"/>
      <c r="L69" s="34"/>
      <c r="M69" s="34"/>
      <c r="N69" s="34"/>
      <c r="O69" s="35" t="n">
        <f aca="false">IF(I69="",1,I69)*IF(J69="",1,J69)*IF(K69="",1,K69)*IF(L69="",1,L69)*IF(M69="",1,M69)-N(N69)</f>
        <v>1</v>
      </c>
      <c r="P69" s="17" t="s">
        <v>321</v>
      </c>
      <c r="Q69" s="36" t="n">
        <v>0</v>
      </c>
      <c r="R69" s="35" t="n">
        <f aca="false">IF(S69="Y",ROUNDUP(O69*(1+Q69),0),O69*(1+Q69))</f>
        <v>1</v>
      </c>
      <c r="S69" s="37" t="s">
        <v>322</v>
      </c>
      <c r="T69" s="38"/>
      <c r="U69" s="17" t="s">
        <v>320</v>
      </c>
      <c r="V69" s="17" t="s">
        <v>323</v>
      </c>
      <c r="W69" s="38"/>
    </row>
    <row r="70" customFormat="false" ht="28.35" hidden="false" customHeight="false" outlineLevel="0" collapsed="false">
      <c r="A70" s="25" t="s">
        <v>592</v>
      </c>
      <c r="B70" s="25" t="s">
        <v>68</v>
      </c>
      <c r="C70" s="25" t="s">
        <v>69</v>
      </c>
      <c r="D70" s="32" t="s">
        <v>593</v>
      </c>
      <c r="E70" s="32" t="s">
        <v>446</v>
      </c>
      <c r="F70" s="25" t="s">
        <v>498</v>
      </c>
      <c r="G70" s="32" t="s">
        <v>594</v>
      </c>
      <c r="H70" s="25" t="s">
        <v>356</v>
      </c>
      <c r="I70" s="34"/>
      <c r="J70" s="34"/>
      <c r="K70" s="34"/>
      <c r="L70" s="34"/>
      <c r="M70" s="34"/>
      <c r="N70" s="34"/>
      <c r="O70" s="35" t="n">
        <f aca="false">96.083*11.5*1.118*2/100</f>
        <v>24.70678262</v>
      </c>
      <c r="P70" s="17" t="s">
        <v>595</v>
      </c>
      <c r="Q70" s="36" t="n">
        <v>0.1</v>
      </c>
      <c r="R70" s="35" t="n">
        <f aca="false">IF(S70="Y",ROUNDUP(O70*(1+Q70),0),O70*(1+Q70))</f>
        <v>27.177460882</v>
      </c>
      <c r="S70" s="37" t="s">
        <v>322</v>
      </c>
      <c r="T70" s="38" t="s">
        <v>596</v>
      </c>
      <c r="U70" s="17" t="s">
        <v>359</v>
      </c>
      <c r="V70" s="17" t="s">
        <v>360</v>
      </c>
      <c r="W70" s="38" t="s">
        <v>597</v>
      </c>
    </row>
    <row r="71" customFormat="false" ht="15" hidden="false" customHeight="false" outlineLevel="0" collapsed="false">
      <c r="A71" s="25" t="s">
        <v>598</v>
      </c>
      <c r="B71" s="25" t="s">
        <v>68</v>
      </c>
      <c r="C71" s="25" t="s">
        <v>69</v>
      </c>
      <c r="D71" s="32" t="s">
        <v>599</v>
      </c>
      <c r="E71" s="32"/>
      <c r="F71" s="25" t="s">
        <v>128</v>
      </c>
      <c r="G71" s="32" t="s">
        <v>600</v>
      </c>
      <c r="H71" s="25" t="s">
        <v>400</v>
      </c>
      <c r="I71" s="34"/>
      <c r="J71" s="33" t="n">
        <v>96.08</v>
      </c>
      <c r="K71" s="34"/>
      <c r="L71" s="34"/>
      <c r="M71" s="34"/>
      <c r="N71" s="34"/>
      <c r="O71" s="35" t="n">
        <f aca="false">IF(I71="",1,I71)*IF(J71="",1,J71)*IF(K71="",1,K71)*IF(L71="",1,L71)*IF(M71="",1,M71)-N(N71)</f>
        <v>96.08</v>
      </c>
      <c r="P71" s="17" t="s">
        <v>401</v>
      </c>
      <c r="Q71" s="36" t="n">
        <v>0.05</v>
      </c>
      <c r="R71" s="35" t="n">
        <f aca="false">IF(S71="Y",ROUNDUP(O71*(1+Q71),0),O71*(1+Q71))</f>
        <v>100.884</v>
      </c>
      <c r="S71" s="37" t="s">
        <v>322</v>
      </c>
      <c r="T71" s="38" t="s">
        <v>601</v>
      </c>
      <c r="U71" s="17" t="s">
        <v>359</v>
      </c>
      <c r="V71" s="17" t="s">
        <v>360</v>
      </c>
      <c r="W71" s="38"/>
    </row>
    <row r="72" customFormat="false" ht="15" hidden="false" customHeight="false" outlineLevel="0" collapsed="false">
      <c r="A72" s="25" t="s">
        <v>602</v>
      </c>
      <c r="B72" s="25" t="s">
        <v>68</v>
      </c>
      <c r="C72" s="25" t="s">
        <v>69</v>
      </c>
      <c r="D72" s="32" t="s">
        <v>603</v>
      </c>
      <c r="E72" s="32"/>
      <c r="F72" s="25" t="s">
        <v>128</v>
      </c>
      <c r="G72" s="32" t="s">
        <v>600</v>
      </c>
      <c r="H72" s="25" t="s">
        <v>400</v>
      </c>
      <c r="I72" s="34"/>
      <c r="J72" s="33" t="n">
        <v>64.17</v>
      </c>
      <c r="K72" s="34"/>
      <c r="L72" s="34"/>
      <c r="M72" s="34"/>
      <c r="N72" s="34"/>
      <c r="O72" s="35" t="n">
        <f aca="false">IF(I72="",1,I72)*IF(J72="",1,J72)*IF(K72="",1,K72)*IF(L72="",1,L72)*IF(M72="",1,M72)-N(N72)</f>
        <v>64.17</v>
      </c>
      <c r="P72" s="17" t="s">
        <v>401</v>
      </c>
      <c r="Q72" s="36" t="n">
        <v>0</v>
      </c>
      <c r="R72" s="35" t="n">
        <f aca="false">IF(S72="Y",ROUNDUP(O72*(1+Q72),0),O72*(1+Q72))</f>
        <v>64.17</v>
      </c>
      <c r="S72" s="37" t="s">
        <v>322</v>
      </c>
      <c r="T72" s="38" t="s">
        <v>604</v>
      </c>
      <c r="U72" s="17" t="s">
        <v>181</v>
      </c>
      <c r="V72" s="17" t="s">
        <v>323</v>
      </c>
      <c r="W72" s="38"/>
    </row>
    <row r="73" customFormat="false" ht="28.35" hidden="false" customHeight="false" outlineLevel="0" collapsed="false">
      <c r="A73" s="25" t="s">
        <v>605</v>
      </c>
      <c r="B73" s="25" t="s">
        <v>68</v>
      </c>
      <c r="C73" s="25" t="s">
        <v>69</v>
      </c>
      <c r="D73" s="32" t="s">
        <v>606</v>
      </c>
      <c r="E73" s="32" t="s">
        <v>607</v>
      </c>
      <c r="F73" s="25" t="s">
        <v>128</v>
      </c>
      <c r="G73" s="32" t="s">
        <v>608</v>
      </c>
      <c r="H73" s="25" t="s">
        <v>356</v>
      </c>
      <c r="I73" s="34"/>
      <c r="J73" s="34"/>
      <c r="K73" s="34"/>
      <c r="L73" s="34"/>
      <c r="M73" s="34"/>
      <c r="N73" s="34"/>
      <c r="O73" s="35" t="n">
        <f aca="false">2*70.083*9+21*9+55.12-(5*6*4+2*6*4+2*4+2*3*6.667)</f>
        <v>1289.612</v>
      </c>
      <c r="P73" s="17" t="s">
        <v>357</v>
      </c>
      <c r="Q73" s="36" t="n">
        <v>0.12</v>
      </c>
      <c r="R73" s="35" t="n">
        <f aca="false">IF(S73="Y",ROUNDUP(O73*(1+Q73),0),O73*(1+Q73))</f>
        <v>1444.36544</v>
      </c>
      <c r="S73" s="37" t="s">
        <v>322</v>
      </c>
      <c r="T73" s="38" t="s">
        <v>609</v>
      </c>
      <c r="U73" s="17" t="s">
        <v>359</v>
      </c>
      <c r="V73" s="17" t="s">
        <v>360</v>
      </c>
      <c r="W73" s="38"/>
    </row>
    <row r="74" customFormat="false" ht="15" hidden="false" customHeight="false" outlineLevel="0" collapsed="false">
      <c r="A74" s="25" t="s">
        <v>610</v>
      </c>
      <c r="B74" s="25" t="s">
        <v>68</v>
      </c>
      <c r="C74" s="25" t="s">
        <v>69</v>
      </c>
      <c r="D74" s="32" t="s">
        <v>611</v>
      </c>
      <c r="E74" s="32" t="s">
        <v>612</v>
      </c>
      <c r="F74" s="25" t="s">
        <v>128</v>
      </c>
      <c r="G74" s="32" t="s">
        <v>613</v>
      </c>
      <c r="H74" s="25" t="s">
        <v>400</v>
      </c>
      <c r="I74" s="34"/>
      <c r="J74" s="33" t="n">
        <v>200</v>
      </c>
      <c r="K74" s="34"/>
      <c r="L74" s="34"/>
      <c r="M74" s="34"/>
      <c r="N74" s="34"/>
      <c r="O74" s="35" t="n">
        <f aca="false">IF(I74="",1,I74)*IF(J74="",1,J74)*IF(K74="",1,K74)*IF(L74="",1,L74)*IF(M74="",1,M74)-N(N74)</f>
        <v>200</v>
      </c>
      <c r="P74" s="17" t="s">
        <v>401</v>
      </c>
      <c r="Q74" s="36" t="n">
        <v>0</v>
      </c>
      <c r="R74" s="35" t="n">
        <f aca="false">IF(S74="Y",ROUNDUP(O74*(1+Q74),0),O74*(1+Q74))</f>
        <v>200</v>
      </c>
      <c r="S74" s="37" t="s">
        <v>322</v>
      </c>
      <c r="T74" s="38" t="s">
        <v>614</v>
      </c>
      <c r="U74" s="17" t="s">
        <v>181</v>
      </c>
      <c r="V74" s="17" t="s">
        <v>323</v>
      </c>
      <c r="W74" s="38"/>
    </row>
    <row r="75" customFormat="false" ht="28.35" hidden="false" customHeight="false" outlineLevel="0" collapsed="false">
      <c r="A75" s="25" t="s">
        <v>615</v>
      </c>
      <c r="B75" s="25" t="s">
        <v>68</v>
      </c>
      <c r="C75" s="25" t="s">
        <v>69</v>
      </c>
      <c r="D75" s="32" t="s">
        <v>616</v>
      </c>
      <c r="E75" s="32" t="s">
        <v>617</v>
      </c>
      <c r="F75" s="25" t="s">
        <v>618</v>
      </c>
      <c r="G75" s="32" t="s">
        <v>447</v>
      </c>
      <c r="H75" s="25" t="s">
        <v>356</v>
      </c>
      <c r="I75" s="34"/>
      <c r="J75" s="34"/>
      <c r="K75" s="34"/>
      <c r="L75" s="34"/>
      <c r="M75" s="34"/>
      <c r="N75" s="34"/>
      <c r="O75" s="35" t="n">
        <f aca="false">21*9-(3*3*5+4*8)+2*5.917*9+55.12</f>
        <v>273.626</v>
      </c>
      <c r="P75" s="17" t="s">
        <v>357</v>
      </c>
      <c r="Q75" s="36" t="n">
        <v>0.15</v>
      </c>
      <c r="R75" s="35" t="n">
        <f aca="false">IF(S75="Y",ROUNDUP(O75*(1+Q75),0),O75*(1+Q75))</f>
        <v>314.6699</v>
      </c>
      <c r="S75" s="37" t="s">
        <v>322</v>
      </c>
      <c r="T75" s="38" t="s">
        <v>619</v>
      </c>
      <c r="U75" s="17" t="s">
        <v>359</v>
      </c>
      <c r="V75" s="17" t="s">
        <v>323</v>
      </c>
      <c r="W75" s="38" t="s">
        <v>620</v>
      </c>
    </row>
    <row r="76" customFormat="false" ht="15" hidden="false" customHeight="false" outlineLevel="0" collapsed="false">
      <c r="A76" s="25" t="s">
        <v>621</v>
      </c>
      <c r="B76" s="25" t="s">
        <v>68</v>
      </c>
      <c r="C76" s="25" t="s">
        <v>69</v>
      </c>
      <c r="D76" s="32" t="s">
        <v>622</v>
      </c>
      <c r="E76" s="32" t="s">
        <v>446</v>
      </c>
      <c r="F76" s="25" t="s">
        <v>623</v>
      </c>
      <c r="G76" s="32" t="s">
        <v>447</v>
      </c>
      <c r="H76" s="25" t="s">
        <v>356</v>
      </c>
      <c r="I76" s="34"/>
      <c r="J76" s="33" t="n">
        <v>21</v>
      </c>
      <c r="K76" s="33" t="n">
        <v>5.91666666666667</v>
      </c>
      <c r="L76" s="34"/>
      <c r="M76" s="33" t="n">
        <v>1.1180339887499</v>
      </c>
      <c r="N76" s="34"/>
      <c r="O76" s="35" t="n">
        <f aca="false">IF(I76="",1,I76)*IF(J76="",1,J76)*IF(K76="",1,K76)*IF(L76="",1,L76)*IF(M76="",1,M76)-N(N76)</f>
        <v>138.915723102175</v>
      </c>
      <c r="P76" s="17" t="s">
        <v>357</v>
      </c>
      <c r="Q76" s="36" t="n">
        <v>0.15</v>
      </c>
      <c r="R76" s="35" t="n">
        <f aca="false">IF(S76="Y",ROUNDUP(O76*(1+Q76),0),O76*(1+Q76))</f>
        <v>159.753081567501</v>
      </c>
      <c r="S76" s="37" t="s">
        <v>322</v>
      </c>
      <c r="T76" s="38" t="s">
        <v>624</v>
      </c>
      <c r="U76" s="17" t="s">
        <v>359</v>
      </c>
      <c r="V76" s="17" t="s">
        <v>360</v>
      </c>
      <c r="W76" s="38"/>
    </row>
    <row r="77" customFormat="false" ht="15" hidden="false" customHeight="false" outlineLevel="0" collapsed="false">
      <c r="A77" s="25" t="s">
        <v>625</v>
      </c>
      <c r="B77" s="25" t="s">
        <v>68</v>
      </c>
      <c r="C77" s="25" t="s">
        <v>69</v>
      </c>
      <c r="D77" s="32" t="s">
        <v>626</v>
      </c>
      <c r="E77" s="32" t="s">
        <v>446</v>
      </c>
      <c r="F77" s="25" t="s">
        <v>623</v>
      </c>
      <c r="G77" s="32" t="s">
        <v>627</v>
      </c>
      <c r="H77" s="25" t="s">
        <v>356</v>
      </c>
      <c r="I77" s="34"/>
      <c r="J77" s="33" t="n">
        <v>21</v>
      </c>
      <c r="K77" s="33" t="n">
        <v>24</v>
      </c>
      <c r="L77" s="34"/>
      <c r="M77" s="33" t="n">
        <v>1.1180339887499</v>
      </c>
      <c r="N77" s="34"/>
      <c r="O77" s="35" t="n">
        <f aca="false">IF(I77="",1,I77)*IF(J77="",1,J77)*IF(K77="",1,K77)*IF(L77="",1,L77)*IF(M77="",1,M77)-N(N77)</f>
        <v>563.489130329947</v>
      </c>
      <c r="P77" s="17" t="s">
        <v>357</v>
      </c>
      <c r="Q77" s="36" t="n">
        <v>0.12</v>
      </c>
      <c r="R77" s="35" t="n">
        <f aca="false">IF(S77="Y",ROUNDUP(O77*(1+Q77),0),O77*(1+Q77))</f>
        <v>631.107825969541</v>
      </c>
      <c r="S77" s="37" t="s">
        <v>322</v>
      </c>
      <c r="T77" s="38" t="s">
        <v>628</v>
      </c>
      <c r="U77" s="17" t="s">
        <v>359</v>
      </c>
      <c r="V77" s="17" t="s">
        <v>360</v>
      </c>
      <c r="W77" s="38"/>
    </row>
    <row r="78" customFormat="false" ht="15" hidden="false" customHeight="false" outlineLevel="0" collapsed="false">
      <c r="A78" s="25" t="s">
        <v>629</v>
      </c>
      <c r="B78" s="25" t="s">
        <v>68</v>
      </c>
      <c r="C78" s="25" t="s">
        <v>69</v>
      </c>
      <c r="D78" s="32" t="s">
        <v>630</v>
      </c>
      <c r="E78" s="32" t="s">
        <v>631</v>
      </c>
      <c r="F78" s="25" t="s">
        <v>128</v>
      </c>
      <c r="G78" s="32" t="s">
        <v>535</v>
      </c>
      <c r="H78" s="25" t="s">
        <v>400</v>
      </c>
      <c r="I78" s="34"/>
      <c r="J78" s="33" t="n">
        <v>243.6</v>
      </c>
      <c r="K78" s="34"/>
      <c r="L78" s="34"/>
      <c r="M78" s="34"/>
      <c r="N78" s="34"/>
      <c r="O78" s="35" t="n">
        <f aca="false">IF(I78="",1,I78)*IF(J78="",1,J78)*IF(K78="",1,K78)*IF(L78="",1,L78)*IF(M78="",1,M78)-N(N78)</f>
        <v>243.6</v>
      </c>
      <c r="P78" s="17" t="s">
        <v>401</v>
      </c>
      <c r="Q78" s="36" t="n">
        <v>0.1</v>
      </c>
      <c r="R78" s="35" t="n">
        <f aca="false">IF(S78="Y",ROUNDUP(O78*(1+Q78),0),O78*(1+Q78))</f>
        <v>267.96</v>
      </c>
      <c r="S78" s="37" t="s">
        <v>322</v>
      </c>
      <c r="T78" s="38" t="s">
        <v>536</v>
      </c>
      <c r="U78" s="17" t="s">
        <v>181</v>
      </c>
      <c r="V78" s="17" t="s">
        <v>323</v>
      </c>
      <c r="W78" s="38"/>
    </row>
    <row r="79" customFormat="false" ht="15" hidden="false" customHeight="false" outlineLevel="0" collapsed="false">
      <c r="A79" s="25" t="s">
        <v>632</v>
      </c>
      <c r="B79" s="25" t="s">
        <v>68</v>
      </c>
      <c r="C79" s="25" t="s">
        <v>69</v>
      </c>
      <c r="D79" s="32" t="s">
        <v>633</v>
      </c>
      <c r="E79" s="32" t="s">
        <v>128</v>
      </c>
      <c r="F79" s="25" t="s">
        <v>128</v>
      </c>
      <c r="G79" s="32" t="s">
        <v>535</v>
      </c>
      <c r="H79" s="25" t="s">
        <v>400</v>
      </c>
      <c r="I79" s="34"/>
      <c r="J79" s="33" t="n">
        <v>243.6</v>
      </c>
      <c r="K79" s="34"/>
      <c r="L79" s="34"/>
      <c r="M79" s="34"/>
      <c r="N79" s="34"/>
      <c r="O79" s="35" t="n">
        <f aca="false">IF(I79="",1,I79)*IF(J79="",1,J79)*IF(K79="",1,K79)*IF(L79="",1,L79)*IF(M79="",1,M79)-N(N79)</f>
        <v>243.6</v>
      </c>
      <c r="P79" s="17" t="s">
        <v>401</v>
      </c>
      <c r="Q79" s="36" t="n">
        <v>0.1</v>
      </c>
      <c r="R79" s="35" t="n">
        <f aca="false">IF(S79="Y",ROUNDUP(O79*(1+Q79),0),O79*(1+Q79))</f>
        <v>267.96</v>
      </c>
      <c r="S79" s="37" t="s">
        <v>322</v>
      </c>
      <c r="T79" s="38" t="s">
        <v>536</v>
      </c>
      <c r="U79" s="17" t="s">
        <v>359</v>
      </c>
      <c r="V79" s="17" t="s">
        <v>360</v>
      </c>
      <c r="W79" s="38"/>
    </row>
    <row r="80" customFormat="false" ht="28.35" hidden="false" customHeight="false" outlineLevel="0" collapsed="false">
      <c r="A80" s="25" t="s">
        <v>634</v>
      </c>
      <c r="B80" s="25" t="s">
        <v>68</v>
      </c>
      <c r="C80" s="25" t="s">
        <v>69</v>
      </c>
      <c r="D80" s="32" t="s">
        <v>635</v>
      </c>
      <c r="E80" s="32"/>
      <c r="F80" s="25" t="s">
        <v>128</v>
      </c>
      <c r="G80" s="32" t="s">
        <v>269</v>
      </c>
      <c r="H80" s="25" t="s">
        <v>400</v>
      </c>
      <c r="I80" s="34"/>
      <c r="J80" s="33" t="n">
        <v>286.67</v>
      </c>
      <c r="K80" s="34"/>
      <c r="L80" s="34"/>
      <c r="M80" s="34"/>
      <c r="N80" s="34"/>
      <c r="O80" s="35" t="n">
        <f aca="false">IF(I80="",1,I80)*IF(J80="",1,J80)*IF(K80="",1,K80)*IF(L80="",1,L80)*IF(M80="",1,M80)-N(N80)</f>
        <v>286.67</v>
      </c>
      <c r="P80" s="17" t="s">
        <v>401</v>
      </c>
      <c r="Q80" s="36" t="n">
        <v>0.1</v>
      </c>
      <c r="R80" s="35" t="n">
        <f aca="false">IF(S80="Y",ROUNDUP(O80*(1+Q80),0),O80*(1+Q80))</f>
        <v>315.337</v>
      </c>
      <c r="S80" s="37" t="s">
        <v>322</v>
      </c>
      <c r="T80" s="38" t="s">
        <v>636</v>
      </c>
      <c r="U80" s="17" t="s">
        <v>359</v>
      </c>
      <c r="V80" s="17" t="s">
        <v>323</v>
      </c>
      <c r="W80" s="38"/>
    </row>
    <row r="81" customFormat="false" ht="15" hidden="false" customHeight="false" outlineLevel="0" collapsed="false">
      <c r="A81" s="25" t="s">
        <v>637</v>
      </c>
      <c r="B81" s="25" t="s">
        <v>68</v>
      </c>
      <c r="C81" s="25" t="s">
        <v>69</v>
      </c>
      <c r="D81" s="32" t="s">
        <v>638</v>
      </c>
      <c r="E81" s="32" t="s">
        <v>639</v>
      </c>
      <c r="F81" s="25" t="s">
        <v>128</v>
      </c>
      <c r="G81" s="32" t="s">
        <v>640</v>
      </c>
      <c r="H81" s="25" t="s">
        <v>400</v>
      </c>
      <c r="I81" s="33" t="n">
        <v>2</v>
      </c>
      <c r="J81" s="33" t="n">
        <v>96.08</v>
      </c>
      <c r="K81" s="34"/>
      <c r="L81" s="34"/>
      <c r="M81" s="34"/>
      <c r="N81" s="34"/>
      <c r="O81" s="35" t="n">
        <f aca="false">IF(I81="",1,I81)*IF(J81="",1,J81)*IF(K81="",1,K81)*IF(L81="",1,L81)*IF(M81="",1,M81)-N(N81)</f>
        <v>192.16</v>
      </c>
      <c r="P81" s="17" t="s">
        <v>401</v>
      </c>
      <c r="Q81" s="36" t="n">
        <v>0</v>
      </c>
      <c r="R81" s="35" t="n">
        <f aca="false">IF(S81="Y",ROUNDUP(O81*(1+Q81),0),O81*(1+Q81))</f>
        <v>192.16</v>
      </c>
      <c r="S81" s="37" t="s">
        <v>322</v>
      </c>
      <c r="T81" s="38" t="s">
        <v>641</v>
      </c>
      <c r="U81" s="17" t="s">
        <v>359</v>
      </c>
      <c r="V81" s="17" t="s">
        <v>360</v>
      </c>
      <c r="W81" s="38"/>
    </row>
    <row r="82" customFormat="false" ht="15" hidden="false" customHeight="false" outlineLevel="0" collapsed="false">
      <c r="A82" s="25" t="s">
        <v>642</v>
      </c>
      <c r="B82" s="25" t="s">
        <v>68</v>
      </c>
      <c r="C82" s="25" t="s">
        <v>69</v>
      </c>
      <c r="D82" s="32" t="s">
        <v>643</v>
      </c>
      <c r="E82" s="32"/>
      <c r="F82" s="25" t="s">
        <v>128</v>
      </c>
      <c r="G82" s="32" t="s">
        <v>644</v>
      </c>
      <c r="H82" s="25" t="s">
        <v>400</v>
      </c>
      <c r="I82" s="33" t="n">
        <v>4</v>
      </c>
      <c r="J82" s="33" t="n">
        <v>10.5</v>
      </c>
      <c r="K82" s="34"/>
      <c r="L82" s="34"/>
      <c r="M82" s="34"/>
      <c r="N82" s="34"/>
      <c r="O82" s="35" t="n">
        <f aca="false">IF(I82="",1,I82)*IF(J82="",1,J82)*IF(K82="",1,K82)*IF(L82="",1,L82)*IF(M82="",1,M82)-N(N82)</f>
        <v>42</v>
      </c>
      <c r="P82" s="17" t="s">
        <v>401</v>
      </c>
      <c r="Q82" s="36" t="n">
        <v>0</v>
      </c>
      <c r="R82" s="35" t="n">
        <f aca="false">IF(S82="Y",ROUNDUP(O82*(1+Q82),0),O82*(1+Q82))</f>
        <v>42</v>
      </c>
      <c r="S82" s="37" t="s">
        <v>322</v>
      </c>
      <c r="T82" s="38" t="s">
        <v>645</v>
      </c>
      <c r="U82" s="17" t="s">
        <v>181</v>
      </c>
      <c r="V82" s="17" t="s">
        <v>323</v>
      </c>
      <c r="W82" s="38"/>
    </row>
    <row r="83" customFormat="false" ht="15" hidden="false" customHeight="false" outlineLevel="0" collapsed="false">
      <c r="A83" s="25" t="s">
        <v>646</v>
      </c>
      <c r="B83" s="25" t="s">
        <v>68</v>
      </c>
      <c r="C83" s="25" t="s">
        <v>69</v>
      </c>
      <c r="D83" s="32" t="s">
        <v>647</v>
      </c>
      <c r="E83" s="32"/>
      <c r="F83" s="25" t="s">
        <v>128</v>
      </c>
      <c r="G83" s="32" t="s">
        <v>535</v>
      </c>
      <c r="H83" s="25" t="s">
        <v>400</v>
      </c>
      <c r="I83" s="34"/>
      <c r="J83" s="33" t="n">
        <v>243.6</v>
      </c>
      <c r="K83" s="34"/>
      <c r="L83" s="34"/>
      <c r="M83" s="34"/>
      <c r="N83" s="34"/>
      <c r="O83" s="35" t="n">
        <f aca="false">IF(I83="",1,I83)*IF(J83="",1,J83)*IF(K83="",1,K83)*IF(L83="",1,L83)*IF(M83="",1,M83)-N(N83)</f>
        <v>243.6</v>
      </c>
      <c r="P83" s="17" t="s">
        <v>401</v>
      </c>
      <c r="Q83" s="36" t="n">
        <v>0.1</v>
      </c>
      <c r="R83" s="35" t="n">
        <f aca="false">IF(S83="Y",ROUNDUP(O83*(1+Q83),0),O83*(1+Q83))</f>
        <v>267.96</v>
      </c>
      <c r="S83" s="37" t="s">
        <v>322</v>
      </c>
      <c r="T83" s="38" t="s">
        <v>648</v>
      </c>
      <c r="U83" s="17" t="s">
        <v>359</v>
      </c>
      <c r="V83" s="17" t="s">
        <v>360</v>
      </c>
      <c r="W83" s="38"/>
    </row>
    <row r="84" customFormat="false" ht="15" hidden="false" customHeight="false" outlineLevel="0" collapsed="false">
      <c r="A84" s="25" t="s">
        <v>649</v>
      </c>
      <c r="B84" s="25" t="s">
        <v>68</v>
      </c>
      <c r="C84" s="25" t="s">
        <v>69</v>
      </c>
      <c r="D84" s="32" t="s">
        <v>650</v>
      </c>
      <c r="E84" s="32"/>
      <c r="F84" s="25" t="s">
        <v>128</v>
      </c>
      <c r="G84" s="32" t="s">
        <v>651</v>
      </c>
      <c r="H84" s="25" t="s">
        <v>400</v>
      </c>
      <c r="I84" s="33" t="n">
        <v>2</v>
      </c>
      <c r="J84" s="33" t="n">
        <v>96.08</v>
      </c>
      <c r="K84" s="34"/>
      <c r="L84" s="34"/>
      <c r="M84" s="34"/>
      <c r="N84" s="34"/>
      <c r="O84" s="35" t="n">
        <f aca="false">IF(I84="",1,I84)*IF(J84="",1,J84)*IF(K84="",1,K84)*IF(L84="",1,L84)*IF(M84="",1,M84)-N(N84)</f>
        <v>192.16</v>
      </c>
      <c r="P84" s="17" t="s">
        <v>401</v>
      </c>
      <c r="Q84" s="36" t="n">
        <v>0.05</v>
      </c>
      <c r="R84" s="35" t="n">
        <f aca="false">IF(S84="Y",ROUNDUP(O84*(1+Q84),0),O84*(1+Q84))</f>
        <v>201.768</v>
      </c>
      <c r="S84" s="37" t="s">
        <v>322</v>
      </c>
      <c r="T84" s="38" t="s">
        <v>641</v>
      </c>
      <c r="U84" s="17" t="s">
        <v>359</v>
      </c>
      <c r="V84" s="17" t="s">
        <v>360</v>
      </c>
      <c r="W84" s="38"/>
    </row>
    <row r="85" customFormat="false" ht="15" hidden="false" customHeight="false" outlineLevel="0" collapsed="false">
      <c r="A85" s="25" t="s">
        <v>652</v>
      </c>
      <c r="B85" s="25" t="s">
        <v>68</v>
      </c>
      <c r="C85" s="25" t="s">
        <v>69</v>
      </c>
      <c r="D85" s="32" t="s">
        <v>653</v>
      </c>
      <c r="E85" s="32"/>
      <c r="F85" s="25" t="s">
        <v>142</v>
      </c>
      <c r="G85" s="32" t="s">
        <v>515</v>
      </c>
      <c r="H85" s="25" t="s">
        <v>320</v>
      </c>
      <c r="I85" s="33" t="n">
        <v>1</v>
      </c>
      <c r="J85" s="34"/>
      <c r="K85" s="34"/>
      <c r="L85" s="34"/>
      <c r="M85" s="34"/>
      <c r="N85" s="34"/>
      <c r="O85" s="35" t="n">
        <f aca="false">IF(I85="",1,I85)*IF(J85="",1,J85)*IF(K85="",1,K85)*IF(L85="",1,L85)*IF(M85="",1,M85)-N(N85)</f>
        <v>1</v>
      </c>
      <c r="P85" s="17" t="s">
        <v>321</v>
      </c>
      <c r="Q85" s="36" t="n">
        <v>0</v>
      </c>
      <c r="R85" s="35" t="n">
        <f aca="false">IF(S85="Y",ROUNDUP(O85*(1+Q85),0),O85*(1+Q85))</f>
        <v>1</v>
      </c>
      <c r="S85" s="37" t="s">
        <v>322</v>
      </c>
      <c r="T85" s="38"/>
      <c r="U85" s="17" t="s">
        <v>320</v>
      </c>
      <c r="V85" s="17" t="s">
        <v>323</v>
      </c>
      <c r="W85" s="38"/>
    </row>
    <row r="86" customFormat="false" ht="15" hidden="false" customHeight="false" outlineLevel="0" collapsed="false">
      <c r="A86" s="25" t="s">
        <v>654</v>
      </c>
      <c r="B86" s="25" t="s">
        <v>68</v>
      </c>
      <c r="C86" s="25" t="s">
        <v>69</v>
      </c>
      <c r="D86" s="32" t="s">
        <v>655</v>
      </c>
      <c r="E86" s="32"/>
      <c r="F86" s="25" t="s">
        <v>142</v>
      </c>
      <c r="G86" s="32" t="s">
        <v>269</v>
      </c>
      <c r="H86" s="25" t="s">
        <v>320</v>
      </c>
      <c r="I86" s="33" t="n">
        <v>1</v>
      </c>
      <c r="J86" s="34"/>
      <c r="K86" s="34"/>
      <c r="L86" s="34"/>
      <c r="M86" s="34"/>
      <c r="N86" s="34"/>
      <c r="O86" s="35" t="n">
        <f aca="false">IF(I86="",1,I86)*IF(J86="",1,J86)*IF(K86="",1,K86)*IF(L86="",1,L86)*IF(M86="",1,M86)-N(N86)</f>
        <v>1</v>
      </c>
      <c r="P86" s="17" t="s">
        <v>321</v>
      </c>
      <c r="Q86" s="36" t="n">
        <v>0</v>
      </c>
      <c r="R86" s="35" t="n">
        <f aca="false">IF(S86="Y",ROUNDUP(O86*(1+Q86),0),O86*(1+Q86))</f>
        <v>1</v>
      </c>
      <c r="S86" s="37" t="s">
        <v>322</v>
      </c>
      <c r="T86" s="38"/>
      <c r="U86" s="17" t="s">
        <v>320</v>
      </c>
      <c r="V86" s="17" t="s">
        <v>323</v>
      </c>
      <c r="W86" s="38"/>
    </row>
    <row r="87" customFormat="false" ht="23.85" hidden="false" customHeight="false" outlineLevel="0" collapsed="false">
      <c r="A87" s="25" t="s">
        <v>656</v>
      </c>
      <c r="B87" s="25" t="s">
        <v>70</v>
      </c>
      <c r="C87" s="25" t="s">
        <v>71</v>
      </c>
      <c r="D87" s="32" t="s">
        <v>657</v>
      </c>
      <c r="E87" s="32" t="s">
        <v>134</v>
      </c>
      <c r="F87" s="25" t="s">
        <v>658</v>
      </c>
      <c r="G87" s="32" t="s">
        <v>659</v>
      </c>
      <c r="H87" s="25" t="s">
        <v>302</v>
      </c>
      <c r="I87" s="33" t="n">
        <v>5</v>
      </c>
      <c r="J87" s="34"/>
      <c r="K87" s="34"/>
      <c r="L87" s="34"/>
      <c r="M87" s="34"/>
      <c r="N87" s="34"/>
      <c r="O87" s="35" t="n">
        <f aca="false">IF(I87="",1,I87)*IF(J87="",1,J87)*IF(K87="",1,K87)*IF(L87="",1,L87)*IF(M87="",1,M87)-N(N87)</f>
        <v>5</v>
      </c>
      <c r="P87" s="17" t="s">
        <v>345</v>
      </c>
      <c r="Q87" s="36" t="n">
        <v>0</v>
      </c>
      <c r="R87" s="35" t="n">
        <f aca="false">IF(S87="Y",ROUNDUP(O87*(1+Q87),0),O87*(1+Q87))</f>
        <v>5</v>
      </c>
      <c r="S87" s="37" t="s">
        <v>322</v>
      </c>
      <c r="T87" s="38" t="s">
        <v>660</v>
      </c>
      <c r="U87" s="17" t="s">
        <v>460</v>
      </c>
      <c r="V87" s="17" t="s">
        <v>360</v>
      </c>
      <c r="W87" s="38"/>
    </row>
    <row r="88" customFormat="false" ht="15" hidden="false" customHeight="false" outlineLevel="0" collapsed="false">
      <c r="A88" s="25" t="s">
        <v>661</v>
      </c>
      <c r="B88" s="25" t="s">
        <v>70</v>
      </c>
      <c r="C88" s="25" t="s">
        <v>71</v>
      </c>
      <c r="D88" s="32" t="s">
        <v>662</v>
      </c>
      <c r="E88" s="32" t="s">
        <v>134</v>
      </c>
      <c r="F88" s="25" t="s">
        <v>663</v>
      </c>
      <c r="G88" s="32" t="s">
        <v>664</v>
      </c>
      <c r="H88" s="25" t="s">
        <v>302</v>
      </c>
      <c r="I88" s="33" t="n">
        <v>2</v>
      </c>
      <c r="J88" s="34"/>
      <c r="K88" s="34"/>
      <c r="L88" s="34"/>
      <c r="M88" s="34"/>
      <c r="N88" s="34"/>
      <c r="O88" s="35" t="n">
        <f aca="false">IF(I88="",1,I88)*IF(J88="",1,J88)*IF(K88="",1,K88)*IF(L88="",1,L88)*IF(M88="",1,M88)-N(N88)</f>
        <v>2</v>
      </c>
      <c r="P88" s="17" t="s">
        <v>345</v>
      </c>
      <c r="Q88" s="36" t="n">
        <v>0</v>
      </c>
      <c r="R88" s="35" t="n">
        <f aca="false">IF(S88="Y",ROUNDUP(O88*(1+Q88),0),O88*(1+Q88))</f>
        <v>2</v>
      </c>
      <c r="S88" s="37" t="s">
        <v>322</v>
      </c>
      <c r="T88" s="38" t="s">
        <v>665</v>
      </c>
      <c r="U88" s="17" t="s">
        <v>460</v>
      </c>
      <c r="V88" s="17" t="s">
        <v>360</v>
      </c>
      <c r="W88" s="38" t="s">
        <v>666</v>
      </c>
    </row>
    <row r="89" customFormat="false" ht="15" hidden="false" customHeight="false" outlineLevel="0" collapsed="false">
      <c r="A89" s="25" t="s">
        <v>667</v>
      </c>
      <c r="B89" s="25" t="s">
        <v>70</v>
      </c>
      <c r="C89" s="25" t="s">
        <v>71</v>
      </c>
      <c r="D89" s="32" t="s">
        <v>668</v>
      </c>
      <c r="E89" s="32" t="s">
        <v>134</v>
      </c>
      <c r="F89" s="25" t="s">
        <v>669</v>
      </c>
      <c r="G89" s="32" t="s">
        <v>670</v>
      </c>
      <c r="H89" s="25" t="s">
        <v>302</v>
      </c>
      <c r="I89" s="33" t="n">
        <v>1</v>
      </c>
      <c r="J89" s="34"/>
      <c r="K89" s="34"/>
      <c r="L89" s="34"/>
      <c r="M89" s="34"/>
      <c r="N89" s="34"/>
      <c r="O89" s="35" t="n">
        <f aca="false">IF(I89="",1,I89)*IF(J89="",1,J89)*IF(K89="",1,K89)*IF(L89="",1,L89)*IF(M89="",1,M89)-N(N89)</f>
        <v>1</v>
      </c>
      <c r="P89" s="17" t="s">
        <v>345</v>
      </c>
      <c r="Q89" s="36" t="n">
        <v>0</v>
      </c>
      <c r="R89" s="35" t="n">
        <f aca="false">IF(S89="Y",ROUNDUP(O89*(1+Q89),0),O89*(1+Q89))</f>
        <v>1</v>
      </c>
      <c r="S89" s="37" t="s">
        <v>322</v>
      </c>
      <c r="T89" s="38"/>
      <c r="U89" s="17" t="s">
        <v>460</v>
      </c>
      <c r="V89" s="17" t="s">
        <v>360</v>
      </c>
      <c r="W89" s="38"/>
    </row>
    <row r="90" customFormat="false" ht="23.85" hidden="false" customHeight="false" outlineLevel="0" collapsed="false">
      <c r="A90" s="25" t="s">
        <v>671</v>
      </c>
      <c r="B90" s="25" t="s">
        <v>70</v>
      </c>
      <c r="C90" s="25" t="s">
        <v>71</v>
      </c>
      <c r="D90" s="32" t="s">
        <v>672</v>
      </c>
      <c r="E90" s="32" t="s">
        <v>134</v>
      </c>
      <c r="F90" s="25" t="s">
        <v>673</v>
      </c>
      <c r="G90" s="32" t="s">
        <v>674</v>
      </c>
      <c r="H90" s="25" t="s">
        <v>302</v>
      </c>
      <c r="I90" s="33" t="n">
        <v>3</v>
      </c>
      <c r="J90" s="34"/>
      <c r="K90" s="34"/>
      <c r="L90" s="34"/>
      <c r="M90" s="34"/>
      <c r="N90" s="34"/>
      <c r="O90" s="35" t="n">
        <f aca="false">IF(I90="",1,I90)*IF(J90="",1,J90)*IF(K90="",1,K90)*IF(L90="",1,L90)*IF(M90="",1,M90)-N(N90)</f>
        <v>3</v>
      </c>
      <c r="P90" s="17" t="s">
        <v>345</v>
      </c>
      <c r="Q90" s="36" t="n">
        <v>0</v>
      </c>
      <c r="R90" s="35" t="n">
        <f aca="false">IF(S90="Y",ROUNDUP(O90*(1+Q90),0),O90*(1+Q90))</f>
        <v>3</v>
      </c>
      <c r="S90" s="37" t="s">
        <v>322</v>
      </c>
      <c r="T90" s="38"/>
      <c r="U90" s="17" t="s">
        <v>460</v>
      </c>
      <c r="V90" s="17" t="s">
        <v>360</v>
      </c>
      <c r="W90" s="38" t="s">
        <v>675</v>
      </c>
    </row>
    <row r="91" customFormat="false" ht="15" hidden="false" customHeight="false" outlineLevel="0" collapsed="false">
      <c r="A91" s="25" t="s">
        <v>227</v>
      </c>
      <c r="B91" s="25" t="s">
        <v>70</v>
      </c>
      <c r="C91" s="25" t="s">
        <v>71</v>
      </c>
      <c r="D91" s="32" t="s">
        <v>676</v>
      </c>
      <c r="E91" s="32" t="s">
        <v>134</v>
      </c>
      <c r="F91" s="25" t="s">
        <v>134</v>
      </c>
      <c r="G91" s="32" t="s">
        <v>677</v>
      </c>
      <c r="H91" s="25" t="s">
        <v>302</v>
      </c>
      <c r="I91" s="33" t="n">
        <v>1</v>
      </c>
      <c r="J91" s="34"/>
      <c r="K91" s="34"/>
      <c r="L91" s="34"/>
      <c r="M91" s="34"/>
      <c r="N91" s="34"/>
      <c r="O91" s="35" t="n">
        <f aca="false">IF(I91="",1,I91)*IF(J91="",1,J91)*IF(K91="",1,K91)*IF(L91="",1,L91)*IF(M91="",1,M91)-N(N91)</f>
        <v>1</v>
      </c>
      <c r="P91" s="17" t="s">
        <v>345</v>
      </c>
      <c r="Q91" s="36" t="n">
        <v>0</v>
      </c>
      <c r="R91" s="35" t="n">
        <f aca="false">IF(S91="Y",ROUNDUP(O91*(1+Q91),0),O91*(1+Q91))</f>
        <v>1</v>
      </c>
      <c r="S91" s="37" t="s">
        <v>322</v>
      </c>
      <c r="T91" s="38"/>
      <c r="U91" s="17" t="s">
        <v>460</v>
      </c>
      <c r="V91" s="17" t="s">
        <v>323</v>
      </c>
      <c r="W91" s="38" t="s">
        <v>678</v>
      </c>
    </row>
    <row r="92" customFormat="false" ht="15" hidden="false" customHeight="false" outlineLevel="0" collapsed="false">
      <c r="A92" s="25" t="s">
        <v>679</v>
      </c>
      <c r="B92" s="25" t="s">
        <v>70</v>
      </c>
      <c r="C92" s="25" t="s">
        <v>71</v>
      </c>
      <c r="D92" s="32" t="s">
        <v>680</v>
      </c>
      <c r="E92" s="32" t="s">
        <v>134</v>
      </c>
      <c r="F92" s="25" t="s">
        <v>134</v>
      </c>
      <c r="G92" s="32" t="s">
        <v>681</v>
      </c>
      <c r="H92" s="25" t="s">
        <v>302</v>
      </c>
      <c r="I92" s="33" t="n">
        <v>1</v>
      </c>
      <c r="J92" s="34"/>
      <c r="K92" s="34"/>
      <c r="L92" s="34"/>
      <c r="M92" s="34"/>
      <c r="N92" s="34"/>
      <c r="O92" s="35" t="n">
        <f aca="false">IF(I92="",1,I92)*IF(J92="",1,J92)*IF(K92="",1,K92)*IF(L92="",1,L92)*IF(M92="",1,M92)-N(N92)</f>
        <v>1</v>
      </c>
      <c r="P92" s="17" t="s">
        <v>345</v>
      </c>
      <c r="Q92" s="36" t="n">
        <v>0</v>
      </c>
      <c r="R92" s="35" t="n">
        <f aca="false">IF(S92="Y",ROUNDUP(O92*(1+Q92),0),O92*(1+Q92))</f>
        <v>1</v>
      </c>
      <c r="S92" s="37" t="s">
        <v>322</v>
      </c>
      <c r="T92" s="38"/>
      <c r="U92" s="17" t="s">
        <v>460</v>
      </c>
      <c r="V92" s="17" t="s">
        <v>360</v>
      </c>
      <c r="W92" s="38"/>
    </row>
    <row r="93" customFormat="false" ht="15" hidden="false" customHeight="false" outlineLevel="0" collapsed="false">
      <c r="A93" s="25" t="s">
        <v>682</v>
      </c>
      <c r="B93" s="25" t="s">
        <v>70</v>
      </c>
      <c r="C93" s="25" t="s">
        <v>71</v>
      </c>
      <c r="D93" s="32" t="s">
        <v>683</v>
      </c>
      <c r="E93" s="32" t="s">
        <v>134</v>
      </c>
      <c r="F93" s="25" t="s">
        <v>134</v>
      </c>
      <c r="G93" s="32" t="s">
        <v>684</v>
      </c>
      <c r="H93" s="25" t="s">
        <v>302</v>
      </c>
      <c r="I93" s="33" t="n">
        <v>1</v>
      </c>
      <c r="J93" s="34"/>
      <c r="K93" s="34"/>
      <c r="L93" s="34"/>
      <c r="M93" s="34"/>
      <c r="N93" s="34"/>
      <c r="O93" s="35" t="n">
        <f aca="false">IF(I93="",1,I93)*IF(J93="",1,J93)*IF(K93="",1,K93)*IF(L93="",1,L93)*IF(M93="",1,M93)-N(N93)</f>
        <v>1</v>
      </c>
      <c r="P93" s="17" t="s">
        <v>345</v>
      </c>
      <c r="Q93" s="36" t="n">
        <v>0</v>
      </c>
      <c r="R93" s="35" t="n">
        <f aca="false">IF(S93="Y",ROUNDUP(O93*(1+Q93),0),O93*(1+Q93))</f>
        <v>1</v>
      </c>
      <c r="S93" s="37" t="s">
        <v>322</v>
      </c>
      <c r="T93" s="38"/>
      <c r="U93" s="17" t="s">
        <v>460</v>
      </c>
      <c r="V93" s="17" t="s">
        <v>360</v>
      </c>
      <c r="W93" s="38"/>
    </row>
    <row r="94" customFormat="false" ht="23.85" hidden="false" customHeight="false" outlineLevel="0" collapsed="false">
      <c r="A94" s="25" t="s">
        <v>685</v>
      </c>
      <c r="B94" s="25" t="s">
        <v>70</v>
      </c>
      <c r="C94" s="25" t="s">
        <v>71</v>
      </c>
      <c r="D94" s="32" t="s">
        <v>686</v>
      </c>
      <c r="E94" s="32" t="s">
        <v>134</v>
      </c>
      <c r="F94" s="25" t="s">
        <v>134</v>
      </c>
      <c r="G94" s="32" t="s">
        <v>494</v>
      </c>
      <c r="H94" s="25" t="s">
        <v>302</v>
      </c>
      <c r="I94" s="33" t="n">
        <v>5</v>
      </c>
      <c r="J94" s="34"/>
      <c r="K94" s="34"/>
      <c r="L94" s="34"/>
      <c r="M94" s="34"/>
      <c r="N94" s="34"/>
      <c r="O94" s="35" t="n">
        <f aca="false">IF(I94="",1,I94)*IF(J94="",1,J94)*IF(K94="",1,K94)*IF(L94="",1,L94)*IF(M94="",1,M94)-N(N94)</f>
        <v>5</v>
      </c>
      <c r="P94" s="17" t="s">
        <v>345</v>
      </c>
      <c r="Q94" s="36" t="n">
        <v>0</v>
      </c>
      <c r="R94" s="35" t="n">
        <f aca="false">IF(S94="Y",ROUNDUP(O94*(1+Q94),0),O94*(1+Q94))</f>
        <v>5</v>
      </c>
      <c r="S94" s="37" t="s">
        <v>322</v>
      </c>
      <c r="T94" s="38"/>
      <c r="U94" s="17" t="s">
        <v>460</v>
      </c>
      <c r="V94" s="17" t="s">
        <v>360</v>
      </c>
      <c r="W94" s="38"/>
    </row>
    <row r="95" customFormat="false" ht="15" hidden="false" customHeight="false" outlineLevel="0" collapsed="false">
      <c r="A95" s="25" t="s">
        <v>687</v>
      </c>
      <c r="B95" s="25" t="s">
        <v>70</v>
      </c>
      <c r="C95" s="25" t="s">
        <v>71</v>
      </c>
      <c r="D95" s="32" t="s">
        <v>688</v>
      </c>
      <c r="E95" s="32" t="s">
        <v>689</v>
      </c>
      <c r="F95" s="25" t="s">
        <v>134</v>
      </c>
      <c r="G95" s="32" t="s">
        <v>690</v>
      </c>
      <c r="H95" s="25" t="s">
        <v>302</v>
      </c>
      <c r="I95" s="33" t="n">
        <v>2</v>
      </c>
      <c r="J95" s="34"/>
      <c r="K95" s="34"/>
      <c r="L95" s="34"/>
      <c r="M95" s="34"/>
      <c r="N95" s="34"/>
      <c r="O95" s="35" t="n">
        <f aca="false">IF(I95="",1,I95)*IF(J95="",1,J95)*IF(K95="",1,K95)*IF(L95="",1,L95)*IF(M95="",1,M95)-N(N95)</f>
        <v>2</v>
      </c>
      <c r="P95" s="17" t="s">
        <v>345</v>
      </c>
      <c r="Q95" s="36" t="n">
        <v>0</v>
      </c>
      <c r="R95" s="35" t="n">
        <f aca="false">IF(S95="Y",ROUNDUP(O95*(1+Q95),0),O95*(1+Q95))</f>
        <v>2</v>
      </c>
      <c r="S95" s="37" t="s">
        <v>322</v>
      </c>
      <c r="T95" s="38"/>
      <c r="U95" s="17" t="s">
        <v>460</v>
      </c>
      <c r="V95" s="17" t="s">
        <v>360</v>
      </c>
      <c r="W95" s="38"/>
    </row>
    <row r="96" customFormat="false" ht="15" hidden="false" customHeight="false" outlineLevel="0" collapsed="false">
      <c r="A96" s="25" t="s">
        <v>691</v>
      </c>
      <c r="B96" s="25" t="s">
        <v>70</v>
      </c>
      <c r="C96" s="25" t="s">
        <v>71</v>
      </c>
      <c r="D96" s="32" t="s">
        <v>692</v>
      </c>
      <c r="E96" s="32"/>
      <c r="F96" s="25" t="s">
        <v>134</v>
      </c>
      <c r="G96" s="32" t="s">
        <v>693</v>
      </c>
      <c r="H96" s="25" t="s">
        <v>302</v>
      </c>
      <c r="I96" s="33" t="n">
        <v>1</v>
      </c>
      <c r="J96" s="34"/>
      <c r="K96" s="34"/>
      <c r="L96" s="34"/>
      <c r="M96" s="34"/>
      <c r="N96" s="34"/>
      <c r="O96" s="35" t="n">
        <f aca="false">IF(I96="",1,I96)*IF(J96="",1,J96)*IF(K96="",1,K96)*IF(L96="",1,L96)*IF(M96="",1,M96)-N(N96)</f>
        <v>1</v>
      </c>
      <c r="P96" s="17" t="s">
        <v>345</v>
      </c>
      <c r="Q96" s="36" t="n">
        <v>0</v>
      </c>
      <c r="R96" s="35" t="n">
        <f aca="false">IF(S96="Y",ROUNDUP(O96*(1+Q96),0),O96*(1+Q96))</f>
        <v>1</v>
      </c>
      <c r="S96" s="37" t="s">
        <v>322</v>
      </c>
      <c r="T96" s="38"/>
      <c r="U96" s="17" t="s">
        <v>460</v>
      </c>
      <c r="V96" s="17" t="s">
        <v>360</v>
      </c>
      <c r="W96" s="38"/>
    </row>
    <row r="97" customFormat="false" ht="15" hidden="false" customHeight="false" outlineLevel="0" collapsed="false">
      <c r="A97" s="25" t="s">
        <v>694</v>
      </c>
      <c r="B97" s="25" t="s">
        <v>70</v>
      </c>
      <c r="C97" s="25" t="s">
        <v>71</v>
      </c>
      <c r="D97" s="32" t="s">
        <v>695</v>
      </c>
      <c r="E97" s="32"/>
      <c r="F97" s="25" t="s">
        <v>134</v>
      </c>
      <c r="G97" s="32" t="s">
        <v>696</v>
      </c>
      <c r="H97" s="25" t="s">
        <v>302</v>
      </c>
      <c r="I97" s="33" t="n">
        <v>2</v>
      </c>
      <c r="J97" s="34"/>
      <c r="K97" s="34"/>
      <c r="L97" s="34"/>
      <c r="M97" s="34"/>
      <c r="N97" s="34"/>
      <c r="O97" s="35" t="n">
        <f aca="false">IF(I97="",1,I97)*IF(J97="",1,J97)*IF(K97="",1,K97)*IF(L97="",1,L97)*IF(M97="",1,M97)-N(N97)</f>
        <v>2</v>
      </c>
      <c r="P97" s="17" t="s">
        <v>345</v>
      </c>
      <c r="Q97" s="36" t="n">
        <v>0</v>
      </c>
      <c r="R97" s="35" t="n">
        <f aca="false">IF(S97="Y",ROUNDUP(O97*(1+Q97),0),O97*(1+Q97))</f>
        <v>2</v>
      </c>
      <c r="S97" s="37" t="s">
        <v>322</v>
      </c>
      <c r="T97" s="38"/>
      <c r="U97" s="17" t="s">
        <v>460</v>
      </c>
      <c r="V97" s="17" t="s">
        <v>360</v>
      </c>
      <c r="W97" s="38"/>
    </row>
    <row r="98" customFormat="false" ht="15" hidden="false" customHeight="false" outlineLevel="0" collapsed="false">
      <c r="A98" s="25" t="s">
        <v>697</v>
      </c>
      <c r="B98" s="25" t="s">
        <v>70</v>
      </c>
      <c r="C98" s="25" t="s">
        <v>71</v>
      </c>
      <c r="D98" s="32" t="s">
        <v>698</v>
      </c>
      <c r="E98" s="32"/>
      <c r="F98" s="25" t="s">
        <v>134</v>
      </c>
      <c r="G98" s="32" t="s">
        <v>699</v>
      </c>
      <c r="H98" s="25" t="s">
        <v>302</v>
      </c>
      <c r="I98" s="33" t="n">
        <v>4</v>
      </c>
      <c r="J98" s="34"/>
      <c r="K98" s="34"/>
      <c r="L98" s="34"/>
      <c r="M98" s="34"/>
      <c r="N98" s="34"/>
      <c r="O98" s="35" t="n">
        <f aca="false">IF(I98="",1,I98)*IF(J98="",1,J98)*IF(K98="",1,K98)*IF(L98="",1,L98)*IF(M98="",1,M98)-N(N98)</f>
        <v>4</v>
      </c>
      <c r="P98" s="17" t="s">
        <v>345</v>
      </c>
      <c r="Q98" s="36" t="n">
        <v>0</v>
      </c>
      <c r="R98" s="35" t="n">
        <f aca="false">IF(S98="Y",ROUNDUP(O98*(1+Q98),0),O98*(1+Q98))</f>
        <v>4</v>
      </c>
      <c r="S98" s="37" t="s">
        <v>322</v>
      </c>
      <c r="T98" s="38"/>
      <c r="U98" s="17" t="s">
        <v>181</v>
      </c>
      <c r="V98" s="17" t="s">
        <v>323</v>
      </c>
      <c r="W98" s="38"/>
    </row>
    <row r="99" customFormat="false" ht="15" hidden="false" customHeight="false" outlineLevel="0" collapsed="false">
      <c r="A99" s="25" t="s">
        <v>700</v>
      </c>
      <c r="B99" s="25" t="s">
        <v>70</v>
      </c>
      <c r="C99" s="25" t="s">
        <v>71</v>
      </c>
      <c r="D99" s="32" t="s">
        <v>701</v>
      </c>
      <c r="E99" s="32"/>
      <c r="F99" s="25" t="s">
        <v>134</v>
      </c>
      <c r="G99" s="32" t="s">
        <v>670</v>
      </c>
      <c r="H99" s="25" t="s">
        <v>302</v>
      </c>
      <c r="I99" s="33" t="n">
        <v>1</v>
      </c>
      <c r="J99" s="34"/>
      <c r="K99" s="34"/>
      <c r="L99" s="34"/>
      <c r="M99" s="34"/>
      <c r="N99" s="34"/>
      <c r="O99" s="35" t="n">
        <f aca="false">IF(I99="",1,I99)*IF(J99="",1,J99)*IF(K99="",1,K99)*IF(L99="",1,L99)*IF(M99="",1,M99)-N(N99)</f>
        <v>1</v>
      </c>
      <c r="P99" s="17" t="s">
        <v>345</v>
      </c>
      <c r="Q99" s="36" t="n">
        <v>0</v>
      </c>
      <c r="R99" s="35" t="n">
        <f aca="false">IF(S99="Y",ROUNDUP(O99*(1+Q99),0),O99*(1+Q99))</f>
        <v>1</v>
      </c>
      <c r="S99" s="37" t="s">
        <v>322</v>
      </c>
      <c r="T99" s="38"/>
      <c r="U99" s="17" t="s">
        <v>181</v>
      </c>
      <c r="V99" s="17" t="s">
        <v>323</v>
      </c>
      <c r="W99" s="38"/>
    </row>
    <row r="100" customFormat="false" ht="15" hidden="false" customHeight="false" outlineLevel="0" collapsed="false">
      <c r="A100" s="25" t="s">
        <v>702</v>
      </c>
      <c r="B100" s="25" t="s">
        <v>70</v>
      </c>
      <c r="C100" s="25" t="s">
        <v>71</v>
      </c>
      <c r="D100" s="32" t="s">
        <v>703</v>
      </c>
      <c r="E100" s="32"/>
      <c r="F100" s="25" t="s">
        <v>134</v>
      </c>
      <c r="G100" s="32" t="s">
        <v>690</v>
      </c>
      <c r="H100" s="25" t="s">
        <v>302</v>
      </c>
      <c r="I100" s="33" t="n">
        <v>2</v>
      </c>
      <c r="J100" s="34"/>
      <c r="K100" s="34"/>
      <c r="L100" s="34"/>
      <c r="M100" s="34"/>
      <c r="N100" s="34"/>
      <c r="O100" s="35" t="n">
        <f aca="false">IF(I100="",1,I100)*IF(J100="",1,J100)*IF(K100="",1,K100)*IF(L100="",1,L100)*IF(M100="",1,M100)-N(N100)</f>
        <v>2</v>
      </c>
      <c r="P100" s="17" t="s">
        <v>345</v>
      </c>
      <c r="Q100" s="36" t="n">
        <v>0</v>
      </c>
      <c r="R100" s="35" t="n">
        <f aca="false">IF(S100="Y",ROUNDUP(O100*(1+Q100),0),O100*(1+Q100))</f>
        <v>2</v>
      </c>
      <c r="S100" s="37" t="s">
        <v>322</v>
      </c>
      <c r="T100" s="38"/>
      <c r="U100" s="17" t="s">
        <v>460</v>
      </c>
      <c r="V100" s="17" t="s">
        <v>360</v>
      </c>
      <c r="W100" s="38"/>
    </row>
    <row r="101" customFormat="false" ht="15" hidden="false" customHeight="false" outlineLevel="0" collapsed="false">
      <c r="A101" s="25" t="s">
        <v>704</v>
      </c>
      <c r="B101" s="25" t="s">
        <v>70</v>
      </c>
      <c r="C101" s="25" t="s">
        <v>71</v>
      </c>
      <c r="D101" s="32" t="s">
        <v>705</v>
      </c>
      <c r="E101" s="32"/>
      <c r="F101" s="25" t="s">
        <v>134</v>
      </c>
      <c r="G101" s="32" t="s">
        <v>706</v>
      </c>
      <c r="H101" s="25" t="s">
        <v>302</v>
      </c>
      <c r="I101" s="33" t="n">
        <v>8</v>
      </c>
      <c r="J101" s="34"/>
      <c r="K101" s="34"/>
      <c r="L101" s="34"/>
      <c r="M101" s="34"/>
      <c r="N101" s="34"/>
      <c r="O101" s="35" t="n">
        <f aca="false">IF(I101="",1,I101)*IF(J101="",1,J101)*IF(K101="",1,K101)*IF(L101="",1,L101)*IF(M101="",1,M101)-N(N101)</f>
        <v>8</v>
      </c>
      <c r="P101" s="17" t="s">
        <v>345</v>
      </c>
      <c r="Q101" s="36" t="n">
        <v>0</v>
      </c>
      <c r="R101" s="35" t="n">
        <f aca="false">IF(S101="Y",ROUNDUP(O101*(1+Q101),0),O101*(1+Q101))</f>
        <v>8</v>
      </c>
      <c r="S101" s="37" t="s">
        <v>322</v>
      </c>
      <c r="T101" s="38"/>
      <c r="U101" s="17" t="s">
        <v>359</v>
      </c>
      <c r="V101" s="17" t="s">
        <v>360</v>
      </c>
      <c r="W101" s="38"/>
    </row>
    <row r="102" customFormat="false" ht="28.35" hidden="false" customHeight="false" outlineLevel="0" collapsed="false">
      <c r="A102" s="25" t="s">
        <v>707</v>
      </c>
      <c r="B102" s="25" t="s">
        <v>72</v>
      </c>
      <c r="C102" s="25" t="s">
        <v>73</v>
      </c>
      <c r="D102" s="32" t="s">
        <v>708</v>
      </c>
      <c r="E102" s="32" t="s">
        <v>709</v>
      </c>
      <c r="F102" s="25" t="s">
        <v>443</v>
      </c>
      <c r="G102" s="32" t="s">
        <v>710</v>
      </c>
      <c r="H102" s="25" t="s">
        <v>356</v>
      </c>
      <c r="I102" s="34"/>
      <c r="J102" s="34"/>
      <c r="K102" s="34"/>
      <c r="L102" s="34"/>
      <c r="M102" s="34"/>
      <c r="N102" s="34"/>
      <c r="O102" s="35" t="n">
        <f aca="false">166*9-(221+72)+138.56*9*2-(5*17.781*2+2*40.002*2)</f>
        <v>3357.262</v>
      </c>
      <c r="P102" s="17" t="s">
        <v>357</v>
      </c>
      <c r="Q102" s="36" t="n">
        <v>0.12</v>
      </c>
      <c r="R102" s="35" t="n">
        <f aca="false">IF(S102="Y",ROUNDUP(O102*(1+Q102),0),O102*(1+Q102))</f>
        <v>3760.13344</v>
      </c>
      <c r="S102" s="37" t="s">
        <v>322</v>
      </c>
      <c r="T102" s="38" t="s">
        <v>711</v>
      </c>
      <c r="U102" s="17" t="s">
        <v>359</v>
      </c>
      <c r="V102" s="17" t="s">
        <v>360</v>
      </c>
      <c r="W102" s="38" t="s">
        <v>712</v>
      </c>
    </row>
    <row r="103" customFormat="false" ht="15" hidden="false" customHeight="false" outlineLevel="0" collapsed="false">
      <c r="A103" s="25" t="s">
        <v>713</v>
      </c>
      <c r="B103" s="25" t="s">
        <v>72</v>
      </c>
      <c r="C103" s="25" t="s">
        <v>73</v>
      </c>
      <c r="D103" s="32" t="s">
        <v>714</v>
      </c>
      <c r="E103" s="32"/>
      <c r="F103" s="25" t="s">
        <v>122</v>
      </c>
      <c r="G103" s="32" t="s">
        <v>715</v>
      </c>
      <c r="H103" s="25" t="s">
        <v>356</v>
      </c>
      <c r="I103" s="34"/>
      <c r="J103" s="33" t="n">
        <v>955</v>
      </c>
      <c r="K103" s="34"/>
      <c r="L103" s="34"/>
      <c r="M103" s="34"/>
      <c r="N103" s="34"/>
      <c r="O103" s="35" t="n">
        <f aca="false">IF(I103="",1,I103)*IF(J103="",1,J103)*IF(K103="",1,K103)*IF(L103="",1,L103)*IF(M103="",1,M103)-N(N103)</f>
        <v>955</v>
      </c>
      <c r="P103" s="17" t="s">
        <v>357</v>
      </c>
      <c r="Q103" s="36" t="n">
        <v>0</v>
      </c>
      <c r="R103" s="35" t="n">
        <f aca="false">IF(S103="Y",ROUNDUP(O103*(1+Q103),0),O103*(1+Q103))</f>
        <v>955</v>
      </c>
      <c r="S103" s="37" t="s">
        <v>322</v>
      </c>
      <c r="T103" s="38" t="s">
        <v>716</v>
      </c>
      <c r="U103" s="17" t="s">
        <v>359</v>
      </c>
      <c r="V103" s="17" t="s">
        <v>323</v>
      </c>
      <c r="W103" s="38"/>
    </row>
    <row r="104" customFormat="false" ht="15" hidden="false" customHeight="false" outlineLevel="0" collapsed="false">
      <c r="A104" s="25" t="s">
        <v>717</v>
      </c>
      <c r="B104" s="25" t="s">
        <v>72</v>
      </c>
      <c r="C104" s="25" t="s">
        <v>73</v>
      </c>
      <c r="D104" s="32" t="s">
        <v>718</v>
      </c>
      <c r="E104" s="32"/>
      <c r="F104" s="25" t="s">
        <v>505</v>
      </c>
      <c r="G104" s="32" t="s">
        <v>719</v>
      </c>
      <c r="H104" s="25" t="s">
        <v>356</v>
      </c>
      <c r="I104" s="34"/>
      <c r="J104" s="34"/>
      <c r="K104" s="34"/>
      <c r="L104" s="34"/>
      <c r="M104" s="34"/>
      <c r="N104" s="34"/>
      <c r="O104" s="35" t="n">
        <f aca="false">1246.34</f>
        <v>1246.34</v>
      </c>
      <c r="P104" s="17" t="s">
        <v>357</v>
      </c>
      <c r="Q104" s="36" t="n">
        <v>0.12</v>
      </c>
      <c r="R104" s="35" t="n">
        <f aca="false">IF(S104="Y",ROUNDUP(O104*(1+Q104),0),O104*(1+Q104))</f>
        <v>1395.9008</v>
      </c>
      <c r="S104" s="37" t="s">
        <v>322</v>
      </c>
      <c r="T104" s="38" t="s">
        <v>720</v>
      </c>
      <c r="U104" s="17" t="s">
        <v>359</v>
      </c>
      <c r="V104" s="17" t="s">
        <v>360</v>
      </c>
      <c r="W104" s="38"/>
    </row>
    <row r="105" customFormat="false" ht="15" hidden="false" customHeight="false" outlineLevel="0" collapsed="false">
      <c r="A105" s="25" t="s">
        <v>721</v>
      </c>
      <c r="B105" s="25" t="s">
        <v>72</v>
      </c>
      <c r="C105" s="25" t="s">
        <v>73</v>
      </c>
      <c r="D105" s="32" t="s">
        <v>722</v>
      </c>
      <c r="E105" s="32"/>
      <c r="F105" s="25" t="s">
        <v>142</v>
      </c>
      <c r="G105" s="32" t="s">
        <v>723</v>
      </c>
      <c r="H105" s="25" t="s">
        <v>356</v>
      </c>
      <c r="I105" s="34"/>
      <c r="J105" s="34"/>
      <c r="K105" s="34"/>
      <c r="L105" s="34"/>
      <c r="M105" s="34"/>
      <c r="N105" s="34"/>
      <c r="O105" s="35" t="n">
        <f aca="false">O102+O104</f>
        <v>4603.602</v>
      </c>
      <c r="P105" s="17" t="s">
        <v>357</v>
      </c>
      <c r="Q105" s="36" t="n">
        <v>0</v>
      </c>
      <c r="R105" s="35" t="n">
        <f aca="false">IF(S105="Y",ROUNDUP(O105*(1+Q105),0),O105*(1+Q105))</f>
        <v>4603.602</v>
      </c>
      <c r="S105" s="37" t="s">
        <v>322</v>
      </c>
      <c r="T105" s="38" t="s">
        <v>724</v>
      </c>
      <c r="U105" s="17" t="s">
        <v>359</v>
      </c>
      <c r="V105" s="17" t="s">
        <v>360</v>
      </c>
      <c r="W105" s="38"/>
    </row>
    <row r="106" customFormat="false" ht="28.35" hidden="false" customHeight="false" outlineLevel="0" collapsed="false">
      <c r="A106" s="25" t="s">
        <v>725</v>
      </c>
      <c r="B106" s="25" t="s">
        <v>72</v>
      </c>
      <c r="C106" s="25" t="s">
        <v>73</v>
      </c>
      <c r="D106" s="32" t="s">
        <v>726</v>
      </c>
      <c r="E106" s="32" t="s">
        <v>727</v>
      </c>
      <c r="F106" s="25" t="s">
        <v>122</v>
      </c>
      <c r="G106" s="32" t="s">
        <v>728</v>
      </c>
      <c r="H106" s="25" t="s">
        <v>400</v>
      </c>
      <c r="I106" s="34"/>
      <c r="J106" s="34"/>
      <c r="K106" s="34"/>
      <c r="L106" s="34"/>
      <c r="M106" s="34"/>
      <c r="N106" s="34"/>
      <c r="O106" s="35" t="n">
        <f aca="false">166+2*138.56-(5*2.667*2+2*6*2+10+2*5+20)</f>
        <v>352.45</v>
      </c>
      <c r="P106" s="17" t="s">
        <v>401</v>
      </c>
      <c r="Q106" s="36" t="n">
        <v>0.1</v>
      </c>
      <c r="R106" s="35" t="n">
        <f aca="false">IF(S106="Y",ROUNDUP(O106*(1+Q106),0),O106*(1+Q106))</f>
        <v>387.695</v>
      </c>
      <c r="S106" s="37" t="s">
        <v>322</v>
      </c>
      <c r="T106" s="38" t="s">
        <v>729</v>
      </c>
      <c r="U106" s="17" t="s">
        <v>181</v>
      </c>
      <c r="V106" s="17" t="s">
        <v>323</v>
      </c>
      <c r="W106" s="38"/>
    </row>
    <row r="107" customFormat="false" ht="15" hidden="false" customHeight="false" outlineLevel="0" collapsed="false">
      <c r="A107" s="25" t="s">
        <v>730</v>
      </c>
      <c r="B107" s="25" t="s">
        <v>72</v>
      </c>
      <c r="C107" s="25" t="s">
        <v>73</v>
      </c>
      <c r="D107" s="32" t="s">
        <v>731</v>
      </c>
      <c r="E107" s="32" t="s">
        <v>732</v>
      </c>
      <c r="F107" s="25" t="s">
        <v>134</v>
      </c>
      <c r="G107" s="32" t="s">
        <v>490</v>
      </c>
      <c r="H107" s="25" t="s">
        <v>400</v>
      </c>
      <c r="I107" s="34"/>
      <c r="J107" s="34"/>
      <c r="K107" s="34"/>
      <c r="L107" s="34"/>
      <c r="M107" s="34"/>
      <c r="N107" s="34"/>
      <c r="O107" s="35" t="n">
        <f aca="false">5*2*(2*6.833+2.667+0.5)+2*2*(2*6.833+6+0.5)+(2*8.17+4.5)+2*(2*6.83+3.5)</f>
        <v>304.154</v>
      </c>
      <c r="P107" s="17" t="s">
        <v>401</v>
      </c>
      <c r="Q107" s="36" t="n">
        <v>0.1</v>
      </c>
      <c r="R107" s="35" t="n">
        <f aca="false">IF(S107="Y",ROUNDUP(O107*(1+Q107),0),O107*(1+Q107))</f>
        <v>334.5694</v>
      </c>
      <c r="S107" s="37" t="s">
        <v>322</v>
      </c>
      <c r="T107" s="38" t="s">
        <v>733</v>
      </c>
      <c r="U107" s="17" t="s">
        <v>359</v>
      </c>
      <c r="V107" s="17" t="s">
        <v>323</v>
      </c>
      <c r="W107" s="38"/>
    </row>
    <row r="108" customFormat="false" ht="15" hidden="false" customHeight="false" outlineLevel="0" collapsed="false">
      <c r="A108" s="25" t="s">
        <v>734</v>
      </c>
      <c r="B108" s="25" t="s">
        <v>72</v>
      </c>
      <c r="C108" s="25" t="s">
        <v>73</v>
      </c>
      <c r="D108" s="32" t="s">
        <v>735</v>
      </c>
      <c r="E108" s="32" t="s">
        <v>732</v>
      </c>
      <c r="F108" s="25" t="s">
        <v>134</v>
      </c>
      <c r="G108" s="32" t="s">
        <v>736</v>
      </c>
      <c r="H108" s="25" t="s">
        <v>400</v>
      </c>
      <c r="I108" s="34"/>
      <c r="J108" s="34"/>
      <c r="K108" s="34"/>
      <c r="L108" s="34"/>
      <c r="M108" s="34"/>
      <c r="N108" s="34"/>
      <c r="O108" s="35" t="n">
        <f aca="false">2*(5*6.5+2*6.5+2.5+9.5)</f>
        <v>115</v>
      </c>
      <c r="P108" s="17" t="s">
        <v>401</v>
      </c>
      <c r="Q108" s="36" t="n">
        <v>0.1</v>
      </c>
      <c r="R108" s="35" t="n">
        <f aca="false">IF(S108="Y",ROUNDUP(O108*(1+Q108),0),O108*(1+Q108))</f>
        <v>126.5</v>
      </c>
      <c r="S108" s="37" t="s">
        <v>322</v>
      </c>
      <c r="T108" s="38" t="s">
        <v>737</v>
      </c>
      <c r="U108" s="17" t="s">
        <v>181</v>
      </c>
      <c r="V108" s="17" t="s">
        <v>323</v>
      </c>
      <c r="W108" s="38"/>
    </row>
    <row r="109" customFormat="false" ht="15" hidden="false" customHeight="false" outlineLevel="0" collapsed="false">
      <c r="A109" s="25" t="s">
        <v>738</v>
      </c>
      <c r="B109" s="25" t="s">
        <v>72</v>
      </c>
      <c r="C109" s="25" t="s">
        <v>73</v>
      </c>
      <c r="D109" s="32" t="s">
        <v>739</v>
      </c>
      <c r="E109" s="32" t="s">
        <v>740</v>
      </c>
      <c r="F109" s="25" t="s">
        <v>139</v>
      </c>
      <c r="G109" s="32" t="s">
        <v>494</v>
      </c>
      <c r="H109" s="25" t="s">
        <v>356</v>
      </c>
      <c r="I109" s="34"/>
      <c r="J109" s="34"/>
      <c r="K109" s="34"/>
      <c r="L109" s="34"/>
      <c r="M109" s="34"/>
      <c r="N109" s="34"/>
      <c r="O109" s="35" t="n">
        <f aca="false">O102+O104-242.4</f>
        <v>4361.202</v>
      </c>
      <c r="P109" s="17" t="s">
        <v>357</v>
      </c>
      <c r="Q109" s="36" t="n">
        <v>0</v>
      </c>
      <c r="R109" s="35" t="n">
        <f aca="false">IF(S109="Y",ROUNDUP(O109*(1+Q109),0),O109*(1+Q109))</f>
        <v>4361.202</v>
      </c>
      <c r="S109" s="37" t="s">
        <v>322</v>
      </c>
      <c r="T109" s="38" t="s">
        <v>741</v>
      </c>
      <c r="U109" s="17" t="s">
        <v>359</v>
      </c>
      <c r="V109" s="17" t="s">
        <v>360</v>
      </c>
      <c r="W109" s="38"/>
    </row>
    <row r="110" customFormat="false" ht="15" hidden="false" customHeight="false" outlineLevel="0" collapsed="false">
      <c r="A110" s="25" t="s">
        <v>742</v>
      </c>
      <c r="B110" s="25" t="s">
        <v>72</v>
      </c>
      <c r="C110" s="25" t="s">
        <v>73</v>
      </c>
      <c r="D110" s="32" t="s">
        <v>743</v>
      </c>
      <c r="E110" s="32"/>
      <c r="F110" s="25" t="s">
        <v>134</v>
      </c>
      <c r="G110" s="32" t="s">
        <v>490</v>
      </c>
      <c r="H110" s="25" t="s">
        <v>302</v>
      </c>
      <c r="I110" s="33" t="n">
        <v>10</v>
      </c>
      <c r="J110" s="34"/>
      <c r="K110" s="34"/>
      <c r="L110" s="34"/>
      <c r="M110" s="34"/>
      <c r="N110" s="34"/>
      <c r="O110" s="35" t="n">
        <f aca="false">IF(I110="",1,I110)*IF(J110="",1,J110)*IF(K110="",1,K110)*IF(L110="",1,L110)*IF(M110="",1,M110)-N(N110)</f>
        <v>10</v>
      </c>
      <c r="P110" s="17" t="s">
        <v>345</v>
      </c>
      <c r="Q110" s="36" t="n">
        <v>0</v>
      </c>
      <c r="R110" s="35" t="n">
        <f aca="false">IF(S110="Y",ROUNDUP(O110*(1+Q110),0),O110*(1+Q110))</f>
        <v>10</v>
      </c>
      <c r="S110" s="37" t="s">
        <v>322</v>
      </c>
      <c r="T110" s="38" t="s">
        <v>744</v>
      </c>
      <c r="U110" s="17" t="s">
        <v>359</v>
      </c>
      <c r="V110" s="17" t="s">
        <v>323</v>
      </c>
      <c r="W110" s="38"/>
    </row>
    <row r="111" customFormat="false" ht="15" hidden="false" customHeight="false" outlineLevel="0" collapsed="false">
      <c r="A111" s="25" t="s">
        <v>745</v>
      </c>
      <c r="B111" s="25" t="s">
        <v>72</v>
      </c>
      <c r="C111" s="25" t="s">
        <v>73</v>
      </c>
      <c r="D111" s="32" t="s">
        <v>746</v>
      </c>
      <c r="E111" s="32"/>
      <c r="F111" s="25" t="s">
        <v>142</v>
      </c>
      <c r="G111" s="32" t="s">
        <v>747</v>
      </c>
      <c r="H111" s="25" t="s">
        <v>400</v>
      </c>
      <c r="I111" s="34"/>
      <c r="J111" s="34"/>
      <c r="K111" s="34"/>
      <c r="L111" s="34"/>
      <c r="M111" s="34"/>
      <c r="N111" s="34"/>
      <c r="O111" s="35" t="n">
        <f aca="false">O106+O107+O108</f>
        <v>771.604</v>
      </c>
      <c r="P111" s="17" t="s">
        <v>401</v>
      </c>
      <c r="Q111" s="36" t="n">
        <v>0</v>
      </c>
      <c r="R111" s="35" t="n">
        <f aca="false">IF(S111="Y",ROUNDUP(O111*(1+Q111),0),O111*(1+Q111))</f>
        <v>771.604</v>
      </c>
      <c r="S111" s="37" t="s">
        <v>322</v>
      </c>
      <c r="T111" s="38" t="s">
        <v>748</v>
      </c>
      <c r="U111" s="17" t="s">
        <v>359</v>
      </c>
      <c r="V111" s="17" t="s">
        <v>360</v>
      </c>
      <c r="W111" s="38"/>
    </row>
    <row r="112" customFormat="false" ht="15" hidden="false" customHeight="false" outlineLevel="0" collapsed="false">
      <c r="A112" s="25" t="s">
        <v>749</v>
      </c>
      <c r="B112" s="25" t="s">
        <v>72</v>
      </c>
      <c r="C112" s="25" t="s">
        <v>73</v>
      </c>
      <c r="D112" s="32" t="s">
        <v>750</v>
      </c>
      <c r="E112" s="32" t="s">
        <v>751</v>
      </c>
      <c r="F112" s="25" t="s">
        <v>128</v>
      </c>
      <c r="G112" s="32" t="s">
        <v>269</v>
      </c>
      <c r="H112" s="25" t="s">
        <v>356</v>
      </c>
      <c r="I112" s="34"/>
      <c r="J112" s="34"/>
      <c r="K112" s="34"/>
      <c r="L112" s="34"/>
      <c r="M112" s="34"/>
      <c r="N112" s="34"/>
      <c r="O112" s="35" t="n">
        <f aca="false">O73+O75+O76+O77+O78</f>
        <v>2509.24285343212</v>
      </c>
      <c r="P112" s="17" t="s">
        <v>357</v>
      </c>
      <c r="Q112" s="36" t="n">
        <v>0</v>
      </c>
      <c r="R112" s="35" t="n">
        <f aca="false">IF(S112="Y",ROUNDUP(O112*(1+Q112),0),O112*(1+Q112))</f>
        <v>2509.24285343212</v>
      </c>
      <c r="S112" s="37" t="s">
        <v>322</v>
      </c>
      <c r="T112" s="38" t="s">
        <v>752</v>
      </c>
      <c r="U112" s="17" t="s">
        <v>359</v>
      </c>
      <c r="V112" s="17" t="s">
        <v>323</v>
      </c>
      <c r="W112" s="38"/>
    </row>
    <row r="113" customFormat="false" ht="15" hidden="false" customHeight="false" outlineLevel="0" collapsed="false">
      <c r="A113" s="25" t="s">
        <v>753</v>
      </c>
      <c r="B113" s="25" t="s">
        <v>72</v>
      </c>
      <c r="C113" s="25" t="s">
        <v>73</v>
      </c>
      <c r="D113" s="32" t="s">
        <v>754</v>
      </c>
      <c r="E113" s="32"/>
      <c r="F113" s="25" t="s">
        <v>128</v>
      </c>
      <c r="G113" s="32" t="s">
        <v>269</v>
      </c>
      <c r="H113" s="25" t="s">
        <v>400</v>
      </c>
      <c r="I113" s="34"/>
      <c r="J113" s="34"/>
      <c r="K113" s="34"/>
      <c r="L113" s="34"/>
      <c r="M113" s="34"/>
      <c r="N113" s="34"/>
      <c r="O113" s="35" t="n">
        <f aca="false">O79+O80+O74</f>
        <v>730.27</v>
      </c>
      <c r="P113" s="17" t="s">
        <v>401</v>
      </c>
      <c r="Q113" s="36" t="n">
        <v>0</v>
      </c>
      <c r="R113" s="35" t="n">
        <f aca="false">IF(S113="Y",ROUNDUP(O113*(1+Q113),0),O113*(1+Q113))</f>
        <v>730.27</v>
      </c>
      <c r="S113" s="37" t="s">
        <v>322</v>
      </c>
      <c r="T113" s="38" t="s">
        <v>755</v>
      </c>
      <c r="U113" s="17" t="s">
        <v>359</v>
      </c>
      <c r="V113" s="17" t="s">
        <v>360</v>
      </c>
      <c r="W113" s="38"/>
    </row>
    <row r="114" customFormat="false" ht="15" hidden="false" customHeight="false" outlineLevel="0" collapsed="false">
      <c r="A114" s="25" t="s">
        <v>756</v>
      </c>
      <c r="B114" s="25" t="s">
        <v>72</v>
      </c>
      <c r="C114" s="25" t="s">
        <v>73</v>
      </c>
      <c r="D114" s="32" t="s">
        <v>757</v>
      </c>
      <c r="E114" s="32"/>
      <c r="F114" s="25" t="s">
        <v>134</v>
      </c>
      <c r="G114" s="32" t="s">
        <v>758</v>
      </c>
      <c r="H114" s="25" t="s">
        <v>302</v>
      </c>
      <c r="I114" s="33" t="n">
        <v>3</v>
      </c>
      <c r="J114" s="34"/>
      <c r="K114" s="34"/>
      <c r="L114" s="34"/>
      <c r="M114" s="34"/>
      <c r="N114" s="34"/>
      <c r="O114" s="35" t="n">
        <f aca="false">IF(I114="",1,I114)*IF(J114="",1,J114)*IF(K114="",1,K114)*IF(L114="",1,L114)*IF(M114="",1,M114)-N(N114)</f>
        <v>3</v>
      </c>
      <c r="P114" s="17" t="s">
        <v>345</v>
      </c>
      <c r="Q114" s="36" t="n">
        <v>0</v>
      </c>
      <c r="R114" s="35" t="n">
        <f aca="false">IF(S114="Y",ROUNDUP(O114*(1+Q114),0),O114*(1+Q114))</f>
        <v>3</v>
      </c>
      <c r="S114" s="37" t="s">
        <v>322</v>
      </c>
      <c r="T114" s="38"/>
      <c r="U114" s="17" t="s">
        <v>460</v>
      </c>
      <c r="V114" s="17" t="s">
        <v>360</v>
      </c>
      <c r="W114" s="38"/>
    </row>
    <row r="115" customFormat="false" ht="15" hidden="false" customHeight="false" outlineLevel="0" collapsed="false">
      <c r="A115" s="25" t="s">
        <v>759</v>
      </c>
      <c r="B115" s="25" t="s">
        <v>72</v>
      </c>
      <c r="C115" s="25" t="s">
        <v>73</v>
      </c>
      <c r="D115" s="32" t="s">
        <v>760</v>
      </c>
      <c r="E115" s="32"/>
      <c r="F115" s="25" t="s">
        <v>142</v>
      </c>
      <c r="G115" s="32" t="s">
        <v>494</v>
      </c>
      <c r="H115" s="25" t="s">
        <v>320</v>
      </c>
      <c r="I115" s="33" t="n">
        <v>1</v>
      </c>
      <c r="J115" s="34"/>
      <c r="K115" s="34"/>
      <c r="L115" s="34"/>
      <c r="M115" s="34"/>
      <c r="N115" s="34"/>
      <c r="O115" s="35" t="n">
        <f aca="false">IF(I115="",1,I115)*IF(J115="",1,J115)*IF(K115="",1,K115)*IF(L115="",1,L115)*IF(M115="",1,M115)-N(N115)</f>
        <v>1</v>
      </c>
      <c r="P115" s="17" t="s">
        <v>321</v>
      </c>
      <c r="Q115" s="36" t="n">
        <v>0</v>
      </c>
      <c r="R115" s="35" t="n">
        <f aca="false">IF(S115="Y",ROUNDUP(O115*(1+Q115),0),O115*(1+Q115))</f>
        <v>1</v>
      </c>
      <c r="S115" s="37" t="s">
        <v>322</v>
      </c>
      <c r="T115" s="38"/>
      <c r="U115" s="17" t="s">
        <v>320</v>
      </c>
      <c r="V115" s="17" t="s">
        <v>323</v>
      </c>
      <c r="W115" s="38"/>
    </row>
    <row r="116" customFormat="false" ht="15" hidden="false" customHeight="false" outlineLevel="0" collapsed="false">
      <c r="A116" s="25" t="s">
        <v>761</v>
      </c>
      <c r="B116" s="25" t="s">
        <v>74</v>
      </c>
      <c r="C116" s="25" t="s">
        <v>75</v>
      </c>
      <c r="D116" s="32" t="s">
        <v>762</v>
      </c>
      <c r="E116" s="32"/>
      <c r="F116" s="25" t="s">
        <v>139</v>
      </c>
      <c r="G116" s="32" t="s">
        <v>763</v>
      </c>
      <c r="H116" s="25" t="s">
        <v>302</v>
      </c>
      <c r="I116" s="33" t="n">
        <v>2</v>
      </c>
      <c r="J116" s="34"/>
      <c r="K116" s="34"/>
      <c r="L116" s="34"/>
      <c r="M116" s="34"/>
      <c r="N116" s="34"/>
      <c r="O116" s="35" t="n">
        <f aca="false">IF(I116="",1,I116)*IF(J116="",1,J116)*IF(K116="",1,K116)*IF(L116="",1,L116)*IF(M116="",1,M116)-N(N116)</f>
        <v>2</v>
      </c>
      <c r="P116" s="17" t="s">
        <v>764</v>
      </c>
      <c r="Q116" s="36" t="n">
        <v>0</v>
      </c>
      <c r="R116" s="35" t="n">
        <f aca="false">IF(S116="Y",ROUNDUP(O116*(1+Q116),0),O116*(1+Q116))</f>
        <v>2</v>
      </c>
      <c r="S116" s="37" t="s">
        <v>322</v>
      </c>
      <c r="T116" s="38"/>
      <c r="U116" s="17" t="s">
        <v>181</v>
      </c>
      <c r="V116" s="17" t="s">
        <v>323</v>
      </c>
      <c r="W116" s="38"/>
    </row>
    <row r="117" customFormat="false" ht="15" hidden="false" customHeight="false" outlineLevel="0" collapsed="false">
      <c r="A117" s="25" t="s">
        <v>765</v>
      </c>
      <c r="B117" s="25" t="s">
        <v>74</v>
      </c>
      <c r="C117" s="25" t="s">
        <v>75</v>
      </c>
      <c r="D117" s="32" t="s">
        <v>766</v>
      </c>
      <c r="E117" s="32" t="s">
        <v>767</v>
      </c>
      <c r="F117" s="25" t="s">
        <v>139</v>
      </c>
      <c r="G117" s="32" t="s">
        <v>763</v>
      </c>
      <c r="H117" s="25" t="s">
        <v>302</v>
      </c>
      <c r="I117" s="33" t="n">
        <v>2</v>
      </c>
      <c r="J117" s="34"/>
      <c r="K117" s="34"/>
      <c r="L117" s="34"/>
      <c r="M117" s="34"/>
      <c r="N117" s="34"/>
      <c r="O117" s="35" t="n">
        <f aca="false">IF(I117="",1,I117)*IF(J117="",1,J117)*IF(K117="",1,K117)*IF(L117="",1,L117)*IF(M117="",1,M117)-N(N117)</f>
        <v>2</v>
      </c>
      <c r="P117" s="17" t="s">
        <v>345</v>
      </c>
      <c r="Q117" s="36" t="n">
        <v>0</v>
      </c>
      <c r="R117" s="35" t="n">
        <f aca="false">IF(S117="Y",ROUNDUP(O117*(1+Q117),0),O117*(1+Q117))</f>
        <v>2</v>
      </c>
      <c r="S117" s="37" t="s">
        <v>322</v>
      </c>
      <c r="T117" s="38"/>
      <c r="U117" s="17" t="s">
        <v>460</v>
      </c>
      <c r="V117" s="17" t="s">
        <v>360</v>
      </c>
      <c r="W117" s="38"/>
    </row>
    <row r="118" customFormat="false" ht="15" hidden="false" customHeight="false" outlineLevel="0" collapsed="false">
      <c r="A118" s="25" t="s">
        <v>768</v>
      </c>
      <c r="B118" s="25" t="s">
        <v>74</v>
      </c>
      <c r="C118" s="25" t="s">
        <v>75</v>
      </c>
      <c r="D118" s="32" t="s">
        <v>769</v>
      </c>
      <c r="E118" s="32" t="s">
        <v>770</v>
      </c>
      <c r="F118" s="25" t="s">
        <v>443</v>
      </c>
      <c r="G118" s="32" t="s">
        <v>771</v>
      </c>
      <c r="H118" s="25" t="s">
        <v>400</v>
      </c>
      <c r="I118" s="34"/>
      <c r="J118" s="33" t="n">
        <v>32</v>
      </c>
      <c r="K118" s="34"/>
      <c r="L118" s="34"/>
      <c r="M118" s="34"/>
      <c r="N118" s="34"/>
      <c r="O118" s="35" t="n">
        <f aca="false">IF(I118="",1,I118)*IF(J118="",1,J118)*IF(K118="",1,K118)*IF(L118="",1,L118)*IF(M118="",1,M118)-N(N118)</f>
        <v>32</v>
      </c>
      <c r="P118" s="17" t="s">
        <v>401</v>
      </c>
      <c r="Q118" s="36" t="n">
        <v>0</v>
      </c>
      <c r="R118" s="35" t="n">
        <f aca="false">IF(S118="Y",ROUNDUP(O118*(1+Q118),0),O118*(1+Q118))</f>
        <v>32</v>
      </c>
      <c r="S118" s="37" t="s">
        <v>322</v>
      </c>
      <c r="T118" s="38" t="s">
        <v>772</v>
      </c>
      <c r="U118" s="17" t="s">
        <v>460</v>
      </c>
      <c r="V118" s="17" t="s">
        <v>323</v>
      </c>
      <c r="W118" s="38"/>
    </row>
    <row r="119" customFormat="false" ht="15" hidden="false" customHeight="false" outlineLevel="0" collapsed="false">
      <c r="A119" s="25" t="s">
        <v>773</v>
      </c>
      <c r="B119" s="25" t="s">
        <v>74</v>
      </c>
      <c r="C119" s="25" t="s">
        <v>75</v>
      </c>
      <c r="D119" s="32" t="s">
        <v>774</v>
      </c>
      <c r="E119" s="32"/>
      <c r="F119" s="25" t="s">
        <v>142</v>
      </c>
      <c r="G119" s="32" t="s">
        <v>763</v>
      </c>
      <c r="H119" s="25" t="s">
        <v>302</v>
      </c>
      <c r="I119" s="33" t="n">
        <v>2</v>
      </c>
      <c r="J119" s="34"/>
      <c r="K119" s="34"/>
      <c r="L119" s="34"/>
      <c r="M119" s="34"/>
      <c r="N119" s="34"/>
      <c r="O119" s="35" t="n">
        <f aca="false">IF(I119="",1,I119)*IF(J119="",1,J119)*IF(K119="",1,K119)*IF(L119="",1,L119)*IF(M119="",1,M119)-N(N119)</f>
        <v>2</v>
      </c>
      <c r="P119" s="17" t="s">
        <v>345</v>
      </c>
      <c r="Q119" s="36" t="n">
        <v>0</v>
      </c>
      <c r="R119" s="35" t="n">
        <f aca="false">IF(S119="Y",ROUNDUP(O119*(1+Q119),0),O119*(1+Q119))</f>
        <v>2</v>
      </c>
      <c r="S119" s="37" t="s">
        <v>322</v>
      </c>
      <c r="T119" s="38"/>
      <c r="U119" s="17" t="s">
        <v>181</v>
      </c>
      <c r="V119" s="17" t="s">
        <v>323</v>
      </c>
      <c r="W119" s="38"/>
    </row>
    <row r="120" customFormat="false" ht="15" hidden="false" customHeight="false" outlineLevel="0" collapsed="false">
      <c r="A120" s="25" t="s">
        <v>775</v>
      </c>
      <c r="B120" s="25" t="s">
        <v>74</v>
      </c>
      <c r="C120" s="25" t="s">
        <v>75</v>
      </c>
      <c r="D120" s="32" t="s">
        <v>776</v>
      </c>
      <c r="E120" s="32"/>
      <c r="F120" s="25" t="s">
        <v>142</v>
      </c>
      <c r="G120" s="32" t="s">
        <v>269</v>
      </c>
      <c r="H120" s="25" t="s">
        <v>320</v>
      </c>
      <c r="I120" s="33" t="n">
        <v>1</v>
      </c>
      <c r="J120" s="34"/>
      <c r="K120" s="34"/>
      <c r="L120" s="34"/>
      <c r="M120" s="34"/>
      <c r="N120" s="34"/>
      <c r="O120" s="35" t="n">
        <f aca="false">IF(I120="",1,I120)*IF(J120="",1,J120)*IF(K120="",1,K120)*IF(L120="",1,L120)*IF(M120="",1,M120)-N(N120)</f>
        <v>1</v>
      </c>
      <c r="P120" s="17" t="s">
        <v>321</v>
      </c>
      <c r="Q120" s="36" t="n">
        <v>0</v>
      </c>
      <c r="R120" s="35" t="n">
        <f aca="false">IF(S120="Y",ROUNDUP(O120*(1+Q120),0),O120*(1+Q120))</f>
        <v>1</v>
      </c>
      <c r="S120" s="37" t="s">
        <v>322</v>
      </c>
      <c r="T120" s="38"/>
      <c r="U120" s="17" t="s">
        <v>320</v>
      </c>
      <c r="V120" s="17" t="s">
        <v>323</v>
      </c>
      <c r="W120" s="38"/>
    </row>
    <row r="121" customFormat="false" ht="23.85" hidden="false" customHeight="false" outlineLevel="0" collapsed="false">
      <c r="A121" s="25" t="s">
        <v>777</v>
      </c>
      <c r="B121" s="25" t="s">
        <v>76</v>
      </c>
      <c r="C121" s="25" t="s">
        <v>77</v>
      </c>
      <c r="D121" s="32" t="s">
        <v>778</v>
      </c>
      <c r="E121" s="32" t="s">
        <v>779</v>
      </c>
      <c r="F121" s="25" t="s">
        <v>139</v>
      </c>
      <c r="G121" s="32" t="s">
        <v>780</v>
      </c>
      <c r="H121" s="25" t="s">
        <v>320</v>
      </c>
      <c r="I121" s="33" t="n">
        <v>1</v>
      </c>
      <c r="J121" s="34"/>
      <c r="K121" s="34"/>
      <c r="L121" s="34"/>
      <c r="M121" s="34"/>
      <c r="N121" s="34"/>
      <c r="O121" s="35" t="n">
        <f aca="false">IF(I121="",1,I121)*IF(J121="",1,J121)*IF(K121="",1,K121)*IF(L121="",1,L121)*IF(M121="",1,M121)-N(N121)</f>
        <v>1</v>
      </c>
      <c r="P121" s="17" t="s">
        <v>321</v>
      </c>
      <c r="Q121" s="36" t="n">
        <v>0</v>
      </c>
      <c r="R121" s="35" t="n">
        <f aca="false">IF(S121="Y",ROUNDUP(O121*(1+Q121),0),O121*(1+Q121))</f>
        <v>1</v>
      </c>
      <c r="S121" s="37" t="s">
        <v>322</v>
      </c>
      <c r="T121" s="38"/>
      <c r="U121" s="17" t="s">
        <v>320</v>
      </c>
      <c r="V121" s="17" t="s">
        <v>360</v>
      </c>
      <c r="W121" s="38" t="s">
        <v>781</v>
      </c>
    </row>
    <row r="122" customFormat="false" ht="23.85" hidden="false" customHeight="false" outlineLevel="0" collapsed="false">
      <c r="A122" s="25" t="s">
        <v>782</v>
      </c>
      <c r="B122" s="25" t="s">
        <v>76</v>
      </c>
      <c r="C122" s="25" t="s">
        <v>77</v>
      </c>
      <c r="D122" s="32" t="s">
        <v>783</v>
      </c>
      <c r="E122" s="32"/>
      <c r="F122" s="25" t="s">
        <v>139</v>
      </c>
      <c r="G122" s="32" t="s">
        <v>780</v>
      </c>
      <c r="H122" s="25" t="s">
        <v>320</v>
      </c>
      <c r="I122" s="33" t="n">
        <v>1</v>
      </c>
      <c r="J122" s="34"/>
      <c r="K122" s="34"/>
      <c r="L122" s="34"/>
      <c r="M122" s="34"/>
      <c r="N122" s="34"/>
      <c r="O122" s="35" t="n">
        <f aca="false">IF(I122="",1,I122)*IF(J122="",1,J122)*IF(K122="",1,K122)*IF(L122="",1,L122)*IF(M122="",1,M122)-N(N122)</f>
        <v>1</v>
      </c>
      <c r="P122" s="17" t="s">
        <v>321</v>
      </c>
      <c r="Q122" s="36" t="n">
        <v>0</v>
      </c>
      <c r="R122" s="35" t="n">
        <f aca="false">IF(S122="Y",ROUNDUP(O122*(1+Q122),0),O122*(1+Q122))</f>
        <v>1</v>
      </c>
      <c r="S122" s="37" t="s">
        <v>322</v>
      </c>
      <c r="T122" s="38"/>
      <c r="U122" s="17" t="s">
        <v>320</v>
      </c>
      <c r="V122" s="17" t="s">
        <v>323</v>
      </c>
      <c r="W122" s="38"/>
    </row>
    <row r="123" customFormat="false" ht="15" hidden="false" customHeight="false" outlineLevel="0" collapsed="false">
      <c r="A123" s="25" t="s">
        <v>784</v>
      </c>
      <c r="B123" s="25" t="s">
        <v>78</v>
      </c>
      <c r="C123" s="25" t="s">
        <v>79</v>
      </c>
      <c r="D123" s="32" t="s">
        <v>785</v>
      </c>
      <c r="E123" s="32" t="s">
        <v>446</v>
      </c>
      <c r="F123" s="25" t="s">
        <v>786</v>
      </c>
      <c r="G123" s="32" t="s">
        <v>787</v>
      </c>
      <c r="H123" s="25" t="s">
        <v>400</v>
      </c>
      <c r="I123" s="34"/>
      <c r="J123" s="34"/>
      <c r="K123" s="34"/>
      <c r="L123" s="34"/>
      <c r="M123" s="34"/>
      <c r="N123" s="34"/>
      <c r="O123" s="35" t="n">
        <f aca="false">6+7.7-2</f>
        <v>11.7</v>
      </c>
      <c r="P123" s="17" t="s">
        <v>401</v>
      </c>
      <c r="Q123" s="36" t="n">
        <v>0</v>
      </c>
      <c r="R123" s="35" t="n">
        <f aca="false">IF(S123="Y",ROUNDUP(O123*(1+Q123),0),O123*(1+Q123))</f>
        <v>11.7</v>
      </c>
      <c r="S123" s="37" t="s">
        <v>322</v>
      </c>
      <c r="T123" s="38" t="s">
        <v>788</v>
      </c>
      <c r="U123" s="17" t="s">
        <v>460</v>
      </c>
      <c r="V123" s="17" t="s">
        <v>323</v>
      </c>
      <c r="W123" s="38"/>
    </row>
    <row r="124" customFormat="false" ht="15" hidden="false" customHeight="false" outlineLevel="0" collapsed="false">
      <c r="A124" s="25" t="s">
        <v>789</v>
      </c>
      <c r="B124" s="25" t="s">
        <v>78</v>
      </c>
      <c r="C124" s="25" t="s">
        <v>79</v>
      </c>
      <c r="D124" s="32" t="s">
        <v>790</v>
      </c>
      <c r="E124" s="32" t="s">
        <v>446</v>
      </c>
      <c r="F124" s="25" t="s">
        <v>786</v>
      </c>
      <c r="G124" s="32" t="s">
        <v>791</v>
      </c>
      <c r="H124" s="25" t="s">
        <v>400</v>
      </c>
      <c r="I124" s="34"/>
      <c r="J124" s="34"/>
      <c r="K124" s="34"/>
      <c r="L124" s="34"/>
      <c r="M124" s="34"/>
      <c r="N124" s="34"/>
      <c r="O124" s="35" t="n">
        <f aca="false">2.9+3.1+3.4</f>
        <v>9.4</v>
      </c>
      <c r="P124" s="17" t="s">
        <v>401</v>
      </c>
      <c r="Q124" s="36" t="n">
        <v>0</v>
      </c>
      <c r="R124" s="35" t="n">
        <f aca="false">IF(S124="Y",ROUNDUP(O124*(1+Q124),0),O124*(1+Q124))</f>
        <v>9.4</v>
      </c>
      <c r="S124" s="37" t="s">
        <v>322</v>
      </c>
      <c r="T124" s="38" t="s">
        <v>792</v>
      </c>
      <c r="U124" s="17" t="s">
        <v>460</v>
      </c>
      <c r="V124" s="17" t="s">
        <v>323</v>
      </c>
      <c r="W124" s="38"/>
    </row>
    <row r="125" customFormat="false" ht="15" hidden="false" customHeight="false" outlineLevel="0" collapsed="false">
      <c r="A125" s="25" t="s">
        <v>793</v>
      </c>
      <c r="B125" s="25" t="s">
        <v>78</v>
      </c>
      <c r="C125" s="25" t="s">
        <v>79</v>
      </c>
      <c r="D125" s="32" t="s">
        <v>794</v>
      </c>
      <c r="E125" s="32"/>
      <c r="F125" s="25" t="s">
        <v>122</v>
      </c>
      <c r="G125" s="32" t="s">
        <v>791</v>
      </c>
      <c r="H125" s="25" t="s">
        <v>302</v>
      </c>
      <c r="I125" s="33" t="n">
        <v>1</v>
      </c>
      <c r="J125" s="34"/>
      <c r="K125" s="34"/>
      <c r="L125" s="34"/>
      <c r="M125" s="34"/>
      <c r="N125" s="34"/>
      <c r="O125" s="35" t="n">
        <f aca="false">IF(I125="",1,I125)*IF(J125="",1,J125)*IF(K125="",1,K125)*IF(L125="",1,L125)*IF(M125="",1,M125)-N(N125)</f>
        <v>1</v>
      </c>
      <c r="P125" s="17" t="s">
        <v>345</v>
      </c>
      <c r="Q125" s="36" t="n">
        <v>0</v>
      </c>
      <c r="R125" s="35" t="n">
        <f aca="false">IF(S125="Y",ROUNDUP(O125*(1+Q125),0),O125*(1+Q125))</f>
        <v>1</v>
      </c>
      <c r="S125" s="37" t="s">
        <v>322</v>
      </c>
      <c r="T125" s="38"/>
      <c r="U125" s="17" t="s">
        <v>460</v>
      </c>
      <c r="V125" s="17" t="s">
        <v>380</v>
      </c>
      <c r="W125" s="38" t="s">
        <v>795</v>
      </c>
    </row>
    <row r="126" customFormat="false" ht="15" hidden="false" customHeight="false" outlineLevel="0" collapsed="false">
      <c r="A126" s="25" t="s">
        <v>796</v>
      </c>
      <c r="B126" s="25" t="s">
        <v>78</v>
      </c>
      <c r="C126" s="25" t="s">
        <v>79</v>
      </c>
      <c r="D126" s="32" t="s">
        <v>797</v>
      </c>
      <c r="E126" s="32"/>
      <c r="F126" s="25" t="s">
        <v>122</v>
      </c>
      <c r="G126" s="32" t="s">
        <v>791</v>
      </c>
      <c r="H126" s="25" t="s">
        <v>320</v>
      </c>
      <c r="I126" s="33" t="n">
        <v>1</v>
      </c>
      <c r="J126" s="34"/>
      <c r="K126" s="34"/>
      <c r="L126" s="34"/>
      <c r="M126" s="34"/>
      <c r="N126" s="34"/>
      <c r="O126" s="35" t="n">
        <f aca="false">IF(I126="",1,I126)*IF(J126="",1,J126)*IF(K126="",1,K126)*IF(L126="",1,L126)*IF(M126="",1,M126)-N(N126)</f>
        <v>1</v>
      </c>
      <c r="P126" s="17" t="s">
        <v>321</v>
      </c>
      <c r="Q126" s="36" t="n">
        <v>0</v>
      </c>
      <c r="R126" s="35" t="n">
        <f aca="false">IF(S126="Y",ROUNDUP(O126*(1+Q126),0),O126*(1+Q126))</f>
        <v>1</v>
      </c>
      <c r="S126" s="37" t="s">
        <v>322</v>
      </c>
      <c r="T126" s="38"/>
      <c r="U126" s="17" t="s">
        <v>320</v>
      </c>
      <c r="V126" s="17" t="s">
        <v>323</v>
      </c>
      <c r="W126" s="38"/>
    </row>
    <row r="127" customFormat="false" ht="15" hidden="false" customHeight="false" outlineLevel="0" collapsed="false">
      <c r="A127" s="25" t="s">
        <v>798</v>
      </c>
      <c r="B127" s="25" t="s">
        <v>78</v>
      </c>
      <c r="C127" s="25" t="s">
        <v>79</v>
      </c>
      <c r="D127" s="32" t="s">
        <v>799</v>
      </c>
      <c r="E127" s="32" t="s">
        <v>446</v>
      </c>
      <c r="F127" s="25" t="s">
        <v>122</v>
      </c>
      <c r="G127" s="32" t="s">
        <v>800</v>
      </c>
      <c r="H127" s="25" t="s">
        <v>302</v>
      </c>
      <c r="I127" s="33" t="n">
        <v>2</v>
      </c>
      <c r="J127" s="34"/>
      <c r="K127" s="34"/>
      <c r="L127" s="34"/>
      <c r="M127" s="34"/>
      <c r="N127" s="34"/>
      <c r="O127" s="35" t="n">
        <f aca="false">IF(I127="",1,I127)*IF(J127="",1,J127)*IF(K127="",1,K127)*IF(L127="",1,L127)*IF(M127="",1,M127)-N(N127)</f>
        <v>2</v>
      </c>
      <c r="P127" s="17" t="s">
        <v>345</v>
      </c>
      <c r="Q127" s="36" t="n">
        <v>0</v>
      </c>
      <c r="R127" s="35" t="n">
        <f aca="false">IF(S127="Y",ROUNDUP(O127*(1+Q127),0),O127*(1+Q127))</f>
        <v>2</v>
      </c>
      <c r="S127" s="37" t="s">
        <v>322</v>
      </c>
      <c r="T127" s="38"/>
      <c r="U127" s="17" t="s">
        <v>460</v>
      </c>
      <c r="V127" s="17" t="s">
        <v>323</v>
      </c>
      <c r="W127" s="38"/>
    </row>
    <row r="128" customFormat="false" ht="15" hidden="false" customHeight="false" outlineLevel="0" collapsed="false">
      <c r="A128" s="25" t="s">
        <v>801</v>
      </c>
      <c r="B128" s="25" t="s">
        <v>78</v>
      </c>
      <c r="C128" s="25" t="s">
        <v>79</v>
      </c>
      <c r="D128" s="32" t="s">
        <v>802</v>
      </c>
      <c r="E128" s="32" t="s">
        <v>803</v>
      </c>
      <c r="F128" s="25" t="s">
        <v>786</v>
      </c>
      <c r="G128" s="32" t="s">
        <v>804</v>
      </c>
      <c r="H128" s="25" t="s">
        <v>356</v>
      </c>
      <c r="I128" s="34"/>
      <c r="J128" s="34"/>
      <c r="K128" s="34"/>
      <c r="L128" s="34"/>
      <c r="M128" s="34"/>
      <c r="N128" s="34"/>
      <c r="O128" s="35" t="n">
        <f aca="false">6*2.125+7.9*3+2*2.5*1.83</f>
        <v>45.6</v>
      </c>
      <c r="P128" s="17" t="s">
        <v>357</v>
      </c>
      <c r="Q128" s="36" t="n">
        <v>0.1</v>
      </c>
      <c r="R128" s="35" t="n">
        <f aca="false">IF(S128="Y",ROUNDUP(O128*(1+Q128),0),O128*(1+Q128))</f>
        <v>50.16</v>
      </c>
      <c r="S128" s="37" t="s">
        <v>322</v>
      </c>
      <c r="T128" s="38" t="s">
        <v>805</v>
      </c>
      <c r="U128" s="17" t="s">
        <v>359</v>
      </c>
      <c r="V128" s="17" t="s">
        <v>323</v>
      </c>
      <c r="W128" s="38"/>
    </row>
    <row r="129" customFormat="false" ht="15" hidden="false" customHeight="false" outlineLevel="0" collapsed="false">
      <c r="A129" s="25" t="s">
        <v>806</v>
      </c>
      <c r="B129" s="25" t="s">
        <v>78</v>
      </c>
      <c r="C129" s="25" t="s">
        <v>79</v>
      </c>
      <c r="D129" s="32" t="s">
        <v>807</v>
      </c>
      <c r="E129" s="32"/>
      <c r="F129" s="25" t="s">
        <v>122</v>
      </c>
      <c r="G129" s="32" t="s">
        <v>808</v>
      </c>
      <c r="H129" s="25" t="s">
        <v>400</v>
      </c>
      <c r="I129" s="34"/>
      <c r="J129" s="34"/>
      <c r="K129" s="34"/>
      <c r="L129" s="34"/>
      <c r="M129" s="34"/>
      <c r="N129" s="34"/>
      <c r="O129" s="35" t="n">
        <f aca="false">6+2*2.1+2*(2.5+2*1.83)</f>
        <v>22.52</v>
      </c>
      <c r="P129" s="17" t="s">
        <v>401</v>
      </c>
      <c r="Q129" s="36" t="n">
        <v>0</v>
      </c>
      <c r="R129" s="35" t="n">
        <f aca="false">IF(S129="Y",ROUNDUP(O129*(1+Q129),0),O129*(1+Q129))</f>
        <v>22.52</v>
      </c>
      <c r="S129" s="37" t="s">
        <v>322</v>
      </c>
      <c r="T129" s="38" t="s">
        <v>809</v>
      </c>
      <c r="U129" s="17" t="s">
        <v>359</v>
      </c>
      <c r="V129" s="17" t="s">
        <v>323</v>
      </c>
      <c r="W129" s="38"/>
    </row>
    <row r="130" customFormat="false" ht="28.35" hidden="false" customHeight="false" outlineLevel="0" collapsed="false">
      <c r="A130" s="25" t="s">
        <v>810</v>
      </c>
      <c r="B130" s="25" t="s">
        <v>80</v>
      </c>
      <c r="C130" s="25" t="s">
        <v>81</v>
      </c>
      <c r="D130" s="32" t="s">
        <v>811</v>
      </c>
      <c r="E130" s="32"/>
      <c r="F130" s="25" t="s">
        <v>122</v>
      </c>
      <c r="G130" s="32" t="s">
        <v>812</v>
      </c>
      <c r="H130" s="25" t="s">
        <v>302</v>
      </c>
      <c r="I130" s="33" t="n">
        <v>13</v>
      </c>
      <c r="J130" s="34"/>
      <c r="K130" s="34"/>
      <c r="L130" s="34"/>
      <c r="M130" s="34"/>
      <c r="N130" s="34"/>
      <c r="O130" s="35" t="n">
        <f aca="false">IF(I130="",1,I130)*IF(J130="",1,J130)*IF(K130="",1,K130)*IF(L130="",1,L130)*IF(M130="",1,M130)-N(N130)</f>
        <v>13</v>
      </c>
      <c r="P130" s="17" t="s">
        <v>345</v>
      </c>
      <c r="Q130" s="36" t="n">
        <v>0</v>
      </c>
      <c r="R130" s="35" t="n">
        <f aca="false">IF(S130="Y",ROUNDUP(O130*(1+Q130),0),O130*(1+Q130))</f>
        <v>13</v>
      </c>
      <c r="S130" s="37" t="s">
        <v>322</v>
      </c>
      <c r="T130" s="38" t="s">
        <v>813</v>
      </c>
      <c r="U130" s="17" t="s">
        <v>359</v>
      </c>
      <c r="V130" s="17" t="s">
        <v>323</v>
      </c>
      <c r="W130" s="38"/>
    </row>
    <row r="131" customFormat="false" ht="15" hidden="false" customHeight="false" outlineLevel="0" collapsed="false">
      <c r="A131" s="25" t="s">
        <v>814</v>
      </c>
      <c r="B131" s="25" t="s">
        <v>80</v>
      </c>
      <c r="C131" s="25" t="s">
        <v>81</v>
      </c>
      <c r="D131" s="32" t="s">
        <v>815</v>
      </c>
      <c r="E131" s="32" t="s">
        <v>816</v>
      </c>
      <c r="F131" s="25" t="s">
        <v>122</v>
      </c>
      <c r="G131" s="32" t="s">
        <v>817</v>
      </c>
      <c r="H131" s="25" t="s">
        <v>302</v>
      </c>
      <c r="I131" s="33" t="n">
        <v>1</v>
      </c>
      <c r="J131" s="34"/>
      <c r="K131" s="34"/>
      <c r="L131" s="34"/>
      <c r="M131" s="34"/>
      <c r="N131" s="34"/>
      <c r="O131" s="35" t="n">
        <f aca="false">IF(I131="",1,I131)*IF(J131="",1,J131)*IF(K131="",1,K131)*IF(L131="",1,L131)*IF(M131="",1,M131)-N(N131)</f>
        <v>1</v>
      </c>
      <c r="P131" s="17" t="s">
        <v>345</v>
      </c>
      <c r="Q131" s="36" t="n">
        <v>0</v>
      </c>
      <c r="R131" s="35" t="n">
        <f aca="false">IF(S131="Y",ROUNDUP(O131*(1+Q131),0),O131*(1+Q131))</f>
        <v>1</v>
      </c>
      <c r="S131" s="37" t="s">
        <v>322</v>
      </c>
      <c r="T131" s="38"/>
      <c r="U131" s="17" t="s">
        <v>460</v>
      </c>
      <c r="V131" s="17" t="s">
        <v>360</v>
      </c>
      <c r="W131" s="38"/>
    </row>
    <row r="132" customFormat="false" ht="15" hidden="false" customHeight="false" outlineLevel="0" collapsed="false">
      <c r="A132" s="25" t="s">
        <v>818</v>
      </c>
      <c r="B132" s="25" t="s">
        <v>80</v>
      </c>
      <c r="C132" s="25" t="s">
        <v>81</v>
      </c>
      <c r="D132" s="32" t="s">
        <v>819</v>
      </c>
      <c r="E132" s="32"/>
      <c r="F132" s="25" t="s">
        <v>122</v>
      </c>
      <c r="G132" s="32" t="s">
        <v>763</v>
      </c>
      <c r="H132" s="25" t="s">
        <v>302</v>
      </c>
      <c r="I132" s="33" t="n">
        <v>2</v>
      </c>
      <c r="J132" s="34"/>
      <c r="K132" s="34"/>
      <c r="L132" s="34"/>
      <c r="M132" s="34"/>
      <c r="N132" s="34"/>
      <c r="O132" s="35" t="n">
        <f aca="false">IF(I132="",1,I132)*IF(J132="",1,J132)*IF(K132="",1,K132)*IF(L132="",1,L132)*IF(M132="",1,M132)-N(N132)</f>
        <v>2</v>
      </c>
      <c r="P132" s="17" t="s">
        <v>345</v>
      </c>
      <c r="Q132" s="36" t="n">
        <v>0</v>
      </c>
      <c r="R132" s="35" t="n">
        <f aca="false">IF(S132="Y",ROUNDUP(O132*(1+Q132),0),O132*(1+Q132))</f>
        <v>2</v>
      </c>
      <c r="S132" s="37" t="s">
        <v>322</v>
      </c>
      <c r="T132" s="38"/>
      <c r="U132" s="17" t="s">
        <v>460</v>
      </c>
      <c r="V132" s="17" t="s">
        <v>360</v>
      </c>
      <c r="W132" s="38"/>
    </row>
    <row r="133" customFormat="false" ht="15" hidden="false" customHeight="false" outlineLevel="0" collapsed="false">
      <c r="A133" s="25" t="s">
        <v>820</v>
      </c>
      <c r="B133" s="25" t="s">
        <v>80</v>
      </c>
      <c r="C133" s="25" t="s">
        <v>81</v>
      </c>
      <c r="D133" s="32" t="s">
        <v>821</v>
      </c>
      <c r="E133" s="32"/>
      <c r="F133" s="25" t="s">
        <v>122</v>
      </c>
      <c r="G133" s="32" t="s">
        <v>763</v>
      </c>
      <c r="H133" s="25" t="s">
        <v>302</v>
      </c>
      <c r="I133" s="33" t="n">
        <v>2</v>
      </c>
      <c r="J133" s="34"/>
      <c r="K133" s="34"/>
      <c r="L133" s="34"/>
      <c r="M133" s="34"/>
      <c r="N133" s="34"/>
      <c r="O133" s="35" t="n">
        <f aca="false">IF(I133="",1,I133)*IF(J133="",1,J133)*IF(K133="",1,K133)*IF(L133="",1,L133)*IF(M133="",1,M133)-N(N133)</f>
        <v>2</v>
      </c>
      <c r="P133" s="17" t="s">
        <v>345</v>
      </c>
      <c r="Q133" s="36" t="n">
        <v>0</v>
      </c>
      <c r="R133" s="35" t="n">
        <f aca="false">IF(S133="Y",ROUNDUP(O133*(1+Q133),0),O133*(1+Q133))</f>
        <v>2</v>
      </c>
      <c r="S133" s="37" t="s">
        <v>322</v>
      </c>
      <c r="T133" s="38"/>
      <c r="U133" s="17" t="s">
        <v>460</v>
      </c>
      <c r="V133" s="17" t="s">
        <v>360</v>
      </c>
      <c r="W133" s="38"/>
    </row>
    <row r="134" customFormat="false" ht="15" hidden="false" customHeight="false" outlineLevel="0" collapsed="false">
      <c r="A134" s="25" t="s">
        <v>822</v>
      </c>
      <c r="B134" s="25" t="s">
        <v>80</v>
      </c>
      <c r="C134" s="25" t="s">
        <v>81</v>
      </c>
      <c r="D134" s="32" t="s">
        <v>823</v>
      </c>
      <c r="E134" s="32" t="s">
        <v>139</v>
      </c>
      <c r="F134" s="25" t="s">
        <v>122</v>
      </c>
      <c r="G134" s="32" t="s">
        <v>763</v>
      </c>
      <c r="H134" s="25" t="s">
        <v>302</v>
      </c>
      <c r="I134" s="33" t="n">
        <v>2</v>
      </c>
      <c r="J134" s="34"/>
      <c r="K134" s="34"/>
      <c r="L134" s="34"/>
      <c r="M134" s="34"/>
      <c r="N134" s="34"/>
      <c r="O134" s="35" t="n">
        <f aca="false">IF(I134="",1,I134)*IF(J134="",1,J134)*IF(K134="",1,K134)*IF(L134="",1,L134)*IF(M134="",1,M134)-N(N134)</f>
        <v>2</v>
      </c>
      <c r="P134" s="17" t="s">
        <v>345</v>
      </c>
      <c r="Q134" s="36" t="n">
        <v>0</v>
      </c>
      <c r="R134" s="35" t="n">
        <f aca="false">IF(S134="Y",ROUNDUP(O134*(1+Q134),0),O134*(1+Q134))</f>
        <v>2</v>
      </c>
      <c r="S134" s="37" t="s">
        <v>322</v>
      </c>
      <c r="T134" s="38"/>
      <c r="U134" s="17" t="s">
        <v>460</v>
      </c>
      <c r="V134" s="17" t="s">
        <v>360</v>
      </c>
      <c r="W134" s="38"/>
    </row>
    <row r="135" customFormat="false" ht="15" hidden="false" customHeight="false" outlineLevel="0" collapsed="false">
      <c r="A135" s="25" t="s">
        <v>824</v>
      </c>
      <c r="B135" s="25" t="s">
        <v>80</v>
      </c>
      <c r="C135" s="25" t="s">
        <v>81</v>
      </c>
      <c r="D135" s="32" t="s">
        <v>825</v>
      </c>
      <c r="E135" s="32" t="s">
        <v>826</v>
      </c>
      <c r="F135" s="25" t="s">
        <v>139</v>
      </c>
      <c r="G135" s="32" t="s">
        <v>763</v>
      </c>
      <c r="H135" s="25" t="s">
        <v>302</v>
      </c>
      <c r="I135" s="33" t="n">
        <v>2</v>
      </c>
      <c r="J135" s="34"/>
      <c r="K135" s="34"/>
      <c r="L135" s="34"/>
      <c r="M135" s="34"/>
      <c r="N135" s="34"/>
      <c r="O135" s="35" t="n">
        <f aca="false">IF(I135="",1,I135)*IF(J135="",1,J135)*IF(K135="",1,K135)*IF(L135="",1,L135)*IF(M135="",1,M135)-N(N135)</f>
        <v>2</v>
      </c>
      <c r="P135" s="17" t="s">
        <v>345</v>
      </c>
      <c r="Q135" s="36" t="n">
        <v>0</v>
      </c>
      <c r="R135" s="35" t="n">
        <f aca="false">IF(S135="Y",ROUNDUP(O135*(1+Q135),0),O135*(1+Q135))</f>
        <v>2</v>
      </c>
      <c r="S135" s="37" t="s">
        <v>322</v>
      </c>
      <c r="T135" s="38"/>
      <c r="U135" s="17" t="s">
        <v>460</v>
      </c>
      <c r="V135" s="17" t="s">
        <v>360</v>
      </c>
      <c r="W135" s="38"/>
    </row>
    <row r="136" customFormat="false" ht="15" hidden="false" customHeight="false" outlineLevel="0" collapsed="false">
      <c r="A136" s="25" t="s">
        <v>827</v>
      </c>
      <c r="B136" s="25" t="s">
        <v>80</v>
      </c>
      <c r="C136" s="25" t="s">
        <v>81</v>
      </c>
      <c r="D136" s="32" t="s">
        <v>828</v>
      </c>
      <c r="E136" s="32" t="s">
        <v>829</v>
      </c>
      <c r="F136" s="25" t="s">
        <v>122</v>
      </c>
      <c r="G136" s="32" t="s">
        <v>830</v>
      </c>
      <c r="H136" s="25" t="s">
        <v>302</v>
      </c>
      <c r="I136" s="33" t="n">
        <v>1</v>
      </c>
      <c r="J136" s="34"/>
      <c r="K136" s="34"/>
      <c r="L136" s="34"/>
      <c r="M136" s="34"/>
      <c r="N136" s="34"/>
      <c r="O136" s="35" t="n">
        <f aca="false">IF(I136="",1,I136)*IF(J136="",1,J136)*IF(K136="",1,K136)*IF(L136="",1,L136)*IF(M136="",1,M136)-N(N136)</f>
        <v>1</v>
      </c>
      <c r="P136" s="17" t="s">
        <v>345</v>
      </c>
      <c r="Q136" s="36" t="n">
        <v>0</v>
      </c>
      <c r="R136" s="35" t="n">
        <f aca="false">IF(S136="Y",ROUNDUP(O136*(1+Q136),0),O136*(1+Q136))</f>
        <v>1</v>
      </c>
      <c r="S136" s="37" t="s">
        <v>322</v>
      </c>
      <c r="T136" s="38"/>
      <c r="U136" s="17" t="s">
        <v>460</v>
      </c>
      <c r="V136" s="17" t="s">
        <v>323</v>
      </c>
      <c r="W136" s="38" t="s">
        <v>831</v>
      </c>
    </row>
    <row r="137" customFormat="false" ht="15" hidden="false" customHeight="false" outlineLevel="0" collapsed="false">
      <c r="A137" s="25" t="s">
        <v>832</v>
      </c>
      <c r="B137" s="25" t="s">
        <v>80</v>
      </c>
      <c r="C137" s="25" t="s">
        <v>81</v>
      </c>
      <c r="D137" s="32" t="s">
        <v>833</v>
      </c>
      <c r="E137" s="32" t="s">
        <v>834</v>
      </c>
      <c r="F137" s="25" t="s">
        <v>139</v>
      </c>
      <c r="G137" s="32" t="s">
        <v>835</v>
      </c>
      <c r="H137" s="25" t="s">
        <v>320</v>
      </c>
      <c r="I137" s="33" t="n">
        <v>1</v>
      </c>
      <c r="J137" s="34"/>
      <c r="K137" s="34"/>
      <c r="L137" s="34"/>
      <c r="M137" s="34"/>
      <c r="N137" s="34"/>
      <c r="O137" s="35" t="n">
        <f aca="false">IF(I137="",1,I137)*IF(J137="",1,J137)*IF(K137="",1,K137)*IF(L137="",1,L137)*IF(M137="",1,M137)-N(N137)</f>
        <v>1</v>
      </c>
      <c r="P137" s="17" t="s">
        <v>321</v>
      </c>
      <c r="Q137" s="36" t="n">
        <v>0</v>
      </c>
      <c r="R137" s="35" t="n">
        <f aca="false">IF(S137="Y",ROUNDUP(O137*(1+Q137),0),O137*(1+Q137))</f>
        <v>1</v>
      </c>
      <c r="S137" s="37" t="s">
        <v>322</v>
      </c>
      <c r="T137" s="38"/>
      <c r="U137" s="17" t="s">
        <v>460</v>
      </c>
      <c r="V137" s="17" t="s">
        <v>360</v>
      </c>
      <c r="W137" s="38"/>
    </row>
    <row r="138" customFormat="false" ht="15" hidden="false" customHeight="false" outlineLevel="0" collapsed="false">
      <c r="A138" s="25" t="s">
        <v>836</v>
      </c>
      <c r="B138" s="25" t="s">
        <v>80</v>
      </c>
      <c r="C138" s="25" t="s">
        <v>81</v>
      </c>
      <c r="D138" s="32" t="s">
        <v>837</v>
      </c>
      <c r="E138" s="32"/>
      <c r="F138" s="25" t="s">
        <v>142</v>
      </c>
      <c r="G138" s="32" t="s">
        <v>838</v>
      </c>
      <c r="H138" s="25" t="s">
        <v>302</v>
      </c>
      <c r="I138" s="33" t="n">
        <v>7</v>
      </c>
      <c r="J138" s="34"/>
      <c r="K138" s="34"/>
      <c r="L138" s="34"/>
      <c r="M138" s="34"/>
      <c r="N138" s="34"/>
      <c r="O138" s="35" t="n">
        <f aca="false">IF(I138="",1,I138)*IF(J138="",1,J138)*IF(K138="",1,K138)*IF(L138="",1,L138)*IF(M138="",1,M138)-N(N138)</f>
        <v>7</v>
      </c>
      <c r="P138" s="17" t="s">
        <v>345</v>
      </c>
      <c r="Q138" s="36" t="n">
        <v>0</v>
      </c>
      <c r="R138" s="35" t="n">
        <f aca="false">IF(S138="Y",ROUNDUP(O138*(1+Q138),0),O138*(1+Q138))</f>
        <v>7</v>
      </c>
      <c r="S138" s="37" t="s">
        <v>322</v>
      </c>
      <c r="T138" s="38" t="s">
        <v>839</v>
      </c>
      <c r="U138" s="17" t="s">
        <v>359</v>
      </c>
      <c r="V138" s="17" t="s">
        <v>360</v>
      </c>
      <c r="W138" s="38"/>
    </row>
    <row r="139" customFormat="false" ht="15" hidden="false" customHeight="false" outlineLevel="0" collapsed="false">
      <c r="A139" s="25" t="s">
        <v>840</v>
      </c>
      <c r="B139" s="25" t="s">
        <v>80</v>
      </c>
      <c r="C139" s="25" t="s">
        <v>81</v>
      </c>
      <c r="D139" s="32" t="s">
        <v>841</v>
      </c>
      <c r="E139" s="32"/>
      <c r="F139" s="25" t="s">
        <v>142</v>
      </c>
      <c r="G139" s="32" t="s">
        <v>1</v>
      </c>
      <c r="H139" s="25" t="s">
        <v>320</v>
      </c>
      <c r="I139" s="33" t="n">
        <v>1</v>
      </c>
      <c r="J139" s="34"/>
      <c r="K139" s="34"/>
      <c r="L139" s="34"/>
      <c r="M139" s="34"/>
      <c r="N139" s="34"/>
      <c r="O139" s="35" t="n">
        <f aca="false">IF(I139="",1,I139)*IF(J139="",1,J139)*IF(K139="",1,K139)*IF(L139="",1,L139)*IF(M139="",1,M139)-N(N139)</f>
        <v>1</v>
      </c>
      <c r="P139" s="17" t="s">
        <v>321</v>
      </c>
      <c r="Q139" s="36" t="n">
        <v>0</v>
      </c>
      <c r="R139" s="35" t="n">
        <f aca="false">IF(S139="Y",ROUNDUP(O139*(1+Q139),0),O139*(1+Q139))</f>
        <v>1</v>
      </c>
      <c r="S139" s="37" t="s">
        <v>322</v>
      </c>
      <c r="T139" s="38"/>
      <c r="U139" s="17" t="s">
        <v>320</v>
      </c>
      <c r="V139" s="17" t="s">
        <v>323</v>
      </c>
      <c r="W139" s="38"/>
    </row>
    <row r="140" customFormat="false" ht="28.35" hidden="false" customHeight="false" outlineLevel="0" collapsed="false">
      <c r="A140" s="25" t="s">
        <v>842</v>
      </c>
      <c r="B140" s="25" t="s">
        <v>82</v>
      </c>
      <c r="C140" s="25" t="s">
        <v>83</v>
      </c>
      <c r="D140" s="32" t="s">
        <v>843</v>
      </c>
      <c r="E140" s="32" t="s">
        <v>844</v>
      </c>
      <c r="F140" s="25" t="s">
        <v>139</v>
      </c>
      <c r="G140" s="32" t="s">
        <v>845</v>
      </c>
      <c r="H140" s="25" t="s">
        <v>302</v>
      </c>
      <c r="I140" s="33" t="n">
        <v>1</v>
      </c>
      <c r="J140" s="34"/>
      <c r="K140" s="34"/>
      <c r="L140" s="34"/>
      <c r="M140" s="34"/>
      <c r="N140" s="34"/>
      <c r="O140" s="35" t="n">
        <f aca="false">IF(I140="",1,I140)*IF(J140="",1,J140)*IF(K140="",1,K140)*IF(L140="",1,L140)*IF(M140="",1,M140)-N(N140)</f>
        <v>1</v>
      </c>
      <c r="P140" s="17" t="s">
        <v>345</v>
      </c>
      <c r="Q140" s="36" t="n">
        <v>0</v>
      </c>
      <c r="R140" s="35" t="n">
        <f aca="false">IF(S140="Y",ROUNDUP(O140*(1+Q140),0),O140*(1+Q140))</f>
        <v>1</v>
      </c>
      <c r="S140" s="37" t="s">
        <v>322</v>
      </c>
      <c r="T140" s="38"/>
      <c r="U140" s="17" t="s">
        <v>460</v>
      </c>
      <c r="V140" s="17" t="s">
        <v>323</v>
      </c>
      <c r="W140" s="38" t="s">
        <v>846</v>
      </c>
    </row>
    <row r="141" customFormat="false" ht="15" hidden="false" customHeight="false" outlineLevel="0" collapsed="false">
      <c r="A141" s="25" t="s">
        <v>847</v>
      </c>
      <c r="B141" s="25" t="s">
        <v>82</v>
      </c>
      <c r="C141" s="25" t="s">
        <v>83</v>
      </c>
      <c r="D141" s="32" t="s">
        <v>848</v>
      </c>
      <c r="E141" s="32"/>
      <c r="F141" s="25" t="s">
        <v>122</v>
      </c>
      <c r="G141" s="32" t="s">
        <v>366</v>
      </c>
      <c r="H141" s="25" t="s">
        <v>356</v>
      </c>
      <c r="I141" s="34"/>
      <c r="J141" s="33" t="n">
        <v>21</v>
      </c>
      <c r="K141" s="33" t="n">
        <v>64.1666666666667</v>
      </c>
      <c r="L141" s="34"/>
      <c r="M141" s="34"/>
      <c r="N141" s="34"/>
      <c r="O141" s="35" t="n">
        <f aca="false">IF(I141="",1,I141)*IF(J141="",1,J141)*IF(K141="",1,K141)*IF(L141="",1,L141)*IF(M141="",1,M141)-N(N141)</f>
        <v>1347.5</v>
      </c>
      <c r="P141" s="17" t="s">
        <v>357</v>
      </c>
      <c r="Q141" s="36" t="n">
        <v>0</v>
      </c>
      <c r="R141" s="35" t="n">
        <f aca="false">IF(S141="Y",ROUNDUP(O141*(1+Q141),0),O141*(1+Q141))</f>
        <v>1347.5</v>
      </c>
      <c r="S141" s="37" t="s">
        <v>322</v>
      </c>
      <c r="T141" s="38" t="s">
        <v>849</v>
      </c>
      <c r="U141" s="17" t="s">
        <v>359</v>
      </c>
      <c r="V141" s="17" t="s">
        <v>360</v>
      </c>
      <c r="W141" s="38"/>
    </row>
    <row r="142" customFormat="false" ht="23.85" hidden="false" customHeight="false" outlineLevel="0" collapsed="false">
      <c r="A142" s="25" t="s">
        <v>850</v>
      </c>
      <c r="B142" s="25" t="s">
        <v>82</v>
      </c>
      <c r="C142" s="25" t="s">
        <v>83</v>
      </c>
      <c r="D142" s="32" t="s">
        <v>851</v>
      </c>
      <c r="E142" s="32"/>
      <c r="F142" s="25" t="s">
        <v>142</v>
      </c>
      <c r="G142" s="32" t="s">
        <v>852</v>
      </c>
      <c r="H142" s="25" t="s">
        <v>320</v>
      </c>
      <c r="I142" s="33" t="n">
        <v>1</v>
      </c>
      <c r="J142" s="34"/>
      <c r="K142" s="34"/>
      <c r="L142" s="34"/>
      <c r="M142" s="34"/>
      <c r="N142" s="34"/>
      <c r="O142" s="35" t="n">
        <f aca="false">IF(I142="",1,I142)*IF(J142="",1,J142)*IF(K142="",1,K142)*IF(L142="",1,L142)*IF(M142="",1,M142)-N(N142)</f>
        <v>1</v>
      </c>
      <c r="P142" s="17" t="s">
        <v>321</v>
      </c>
      <c r="Q142" s="36" t="n">
        <v>0</v>
      </c>
      <c r="R142" s="35" t="n">
        <f aca="false">IF(S142="Y",ROUNDUP(O142*(1+Q142),0),O142*(1+Q142))</f>
        <v>1</v>
      </c>
      <c r="S142" s="37" t="s">
        <v>322</v>
      </c>
      <c r="T142" s="38"/>
      <c r="U142" s="17" t="s">
        <v>320</v>
      </c>
      <c r="V142" s="17" t="s">
        <v>323</v>
      </c>
      <c r="W142" s="38"/>
    </row>
    <row r="143" customFormat="false" ht="15" hidden="false" customHeight="false" outlineLevel="0" collapsed="false">
      <c r="A143" s="25" t="s">
        <v>853</v>
      </c>
      <c r="B143" s="25" t="s">
        <v>82</v>
      </c>
      <c r="C143" s="25" t="s">
        <v>83</v>
      </c>
      <c r="D143" s="32" t="s">
        <v>854</v>
      </c>
      <c r="E143" s="32" t="s">
        <v>139</v>
      </c>
      <c r="F143" s="25" t="s">
        <v>855</v>
      </c>
      <c r="G143" s="32" t="s">
        <v>763</v>
      </c>
      <c r="H143" s="25" t="s">
        <v>302</v>
      </c>
      <c r="I143" s="33" t="n">
        <v>2</v>
      </c>
      <c r="J143" s="34"/>
      <c r="K143" s="34"/>
      <c r="L143" s="34"/>
      <c r="M143" s="34"/>
      <c r="N143" s="34"/>
      <c r="O143" s="35" t="n">
        <f aca="false">IF(I143="",1,I143)*IF(J143="",1,J143)*IF(K143="",1,K143)*IF(L143="",1,L143)*IF(M143="",1,M143)-N(N143)</f>
        <v>2</v>
      </c>
      <c r="P143" s="17" t="s">
        <v>345</v>
      </c>
      <c r="Q143" s="36" t="n">
        <v>0</v>
      </c>
      <c r="R143" s="35" t="n">
        <f aca="false">IF(S143="Y",ROUNDUP(O143*(1+Q143),0),O143*(1+Q143))</f>
        <v>2</v>
      </c>
      <c r="S143" s="37" t="s">
        <v>322</v>
      </c>
      <c r="T143" s="38"/>
      <c r="U143" s="17" t="s">
        <v>460</v>
      </c>
      <c r="V143" s="17" t="s">
        <v>360</v>
      </c>
      <c r="W143" s="38"/>
    </row>
    <row r="144" customFormat="false" ht="15" hidden="false" customHeight="false" outlineLevel="0" collapsed="false">
      <c r="A144" s="25" t="s">
        <v>856</v>
      </c>
      <c r="B144" s="25" t="s">
        <v>82</v>
      </c>
      <c r="C144" s="25" t="s">
        <v>83</v>
      </c>
      <c r="D144" s="32" t="s">
        <v>857</v>
      </c>
      <c r="E144" s="32"/>
      <c r="F144" s="25" t="s">
        <v>122</v>
      </c>
      <c r="G144" s="32" t="s">
        <v>670</v>
      </c>
      <c r="H144" s="25" t="s">
        <v>302</v>
      </c>
      <c r="I144" s="33" t="n">
        <v>1</v>
      </c>
      <c r="J144" s="34"/>
      <c r="K144" s="34"/>
      <c r="L144" s="34"/>
      <c r="M144" s="34"/>
      <c r="N144" s="34"/>
      <c r="O144" s="35" t="n">
        <f aca="false">IF(I144="",1,I144)*IF(J144="",1,J144)*IF(K144="",1,K144)*IF(L144="",1,L144)*IF(M144="",1,M144)-N(N144)</f>
        <v>1</v>
      </c>
      <c r="P144" s="17" t="s">
        <v>345</v>
      </c>
      <c r="Q144" s="36" t="n">
        <v>0</v>
      </c>
      <c r="R144" s="35" t="n">
        <f aca="false">IF(S144="Y",ROUNDUP(O144*(1+Q144),0),O144*(1+Q144))</f>
        <v>1</v>
      </c>
      <c r="S144" s="37" t="s">
        <v>322</v>
      </c>
      <c r="T144" s="38"/>
      <c r="U144" s="17" t="s">
        <v>181</v>
      </c>
      <c r="V144" s="17" t="s">
        <v>323</v>
      </c>
      <c r="W144" s="38"/>
    </row>
    <row r="145" customFormat="false" ht="15" hidden="false" customHeight="false" outlineLevel="0" collapsed="false">
      <c r="A145" s="25" t="s">
        <v>858</v>
      </c>
      <c r="B145" s="25" t="s">
        <v>82</v>
      </c>
      <c r="C145" s="25" t="s">
        <v>83</v>
      </c>
      <c r="D145" s="32" t="s">
        <v>859</v>
      </c>
      <c r="E145" s="32" t="s">
        <v>860</v>
      </c>
      <c r="F145" s="25" t="s">
        <v>139</v>
      </c>
      <c r="G145" s="32" t="s">
        <v>791</v>
      </c>
      <c r="H145" s="25" t="s">
        <v>302</v>
      </c>
      <c r="I145" s="33" t="n">
        <v>1</v>
      </c>
      <c r="J145" s="34"/>
      <c r="K145" s="34"/>
      <c r="L145" s="34"/>
      <c r="M145" s="34"/>
      <c r="N145" s="34"/>
      <c r="O145" s="35" t="n">
        <f aca="false">IF(I145="",1,I145)*IF(J145="",1,J145)*IF(K145="",1,K145)*IF(L145="",1,L145)*IF(M145="",1,M145)-N(N145)</f>
        <v>1</v>
      </c>
      <c r="P145" s="17" t="s">
        <v>345</v>
      </c>
      <c r="Q145" s="36" t="n">
        <v>0</v>
      </c>
      <c r="R145" s="35" t="n">
        <f aca="false">IF(S145="Y",ROUNDUP(O145*(1+Q145),0),O145*(1+Q145))</f>
        <v>1</v>
      </c>
      <c r="S145" s="37" t="s">
        <v>322</v>
      </c>
      <c r="T145" s="38"/>
      <c r="U145" s="17" t="s">
        <v>181</v>
      </c>
      <c r="V145" s="17" t="s">
        <v>323</v>
      </c>
      <c r="W145" s="38"/>
    </row>
    <row r="146" customFormat="false" ht="15" hidden="false" customHeight="false" outlineLevel="0" collapsed="false">
      <c r="A146" s="25" t="s">
        <v>861</v>
      </c>
      <c r="B146" s="25" t="s">
        <v>82</v>
      </c>
      <c r="C146" s="25" t="s">
        <v>83</v>
      </c>
      <c r="D146" s="32" t="s">
        <v>862</v>
      </c>
      <c r="E146" s="32"/>
      <c r="F146" s="25" t="s">
        <v>142</v>
      </c>
      <c r="G146" s="32" t="s">
        <v>1</v>
      </c>
      <c r="H146" s="25" t="s">
        <v>320</v>
      </c>
      <c r="I146" s="33" t="n">
        <v>1</v>
      </c>
      <c r="J146" s="34"/>
      <c r="K146" s="34"/>
      <c r="L146" s="34"/>
      <c r="M146" s="34"/>
      <c r="N146" s="34"/>
      <c r="O146" s="35" t="n">
        <f aca="false">IF(I146="",1,I146)*IF(J146="",1,J146)*IF(K146="",1,K146)*IF(L146="",1,L146)*IF(M146="",1,M146)-N(N146)</f>
        <v>1</v>
      </c>
      <c r="P146" s="17" t="s">
        <v>321</v>
      </c>
      <c r="Q146" s="36" t="n">
        <v>0</v>
      </c>
      <c r="R146" s="35" t="n">
        <f aca="false">IF(S146="Y",ROUNDUP(O146*(1+Q146),0),O146*(1+Q146))</f>
        <v>1</v>
      </c>
      <c r="S146" s="37" t="s">
        <v>322</v>
      </c>
      <c r="T146" s="38"/>
      <c r="U146" s="17" t="s">
        <v>320</v>
      </c>
      <c r="V146" s="17" t="s">
        <v>323</v>
      </c>
      <c r="W146" s="38"/>
    </row>
    <row r="147" customFormat="false" ht="15" hidden="false" customHeight="false" outlineLevel="0" collapsed="false">
      <c r="A147" s="25" t="s">
        <v>863</v>
      </c>
      <c r="B147" s="25" t="s">
        <v>84</v>
      </c>
      <c r="C147" s="25" t="s">
        <v>85</v>
      </c>
      <c r="D147" s="32" t="s">
        <v>864</v>
      </c>
      <c r="E147" s="32"/>
      <c r="F147" s="25" t="s">
        <v>142</v>
      </c>
      <c r="G147" s="32" t="s">
        <v>865</v>
      </c>
      <c r="H147" s="25" t="s">
        <v>320</v>
      </c>
      <c r="I147" s="33" t="n">
        <v>1</v>
      </c>
      <c r="J147" s="34"/>
      <c r="K147" s="34"/>
      <c r="L147" s="34"/>
      <c r="M147" s="34"/>
      <c r="N147" s="34"/>
      <c r="O147" s="35" t="n">
        <f aca="false">IF(I147="",1,I147)*IF(J147="",1,J147)*IF(K147="",1,K147)*IF(L147="",1,L147)*IF(M147="",1,M147)-N(N147)</f>
        <v>1</v>
      </c>
      <c r="P147" s="17" t="s">
        <v>321</v>
      </c>
      <c r="Q147" s="36" t="n">
        <v>0</v>
      </c>
      <c r="R147" s="35" t="n">
        <f aca="false">IF(S147="Y",ROUNDUP(O147*(1+Q147),0),O147*(1+Q147))</f>
        <v>1</v>
      </c>
      <c r="S147" s="37" t="s">
        <v>322</v>
      </c>
      <c r="T147" s="38"/>
      <c r="U147" s="17" t="s">
        <v>181</v>
      </c>
      <c r="V147" s="17" t="s">
        <v>323</v>
      </c>
      <c r="W147" s="38" t="s">
        <v>866</v>
      </c>
    </row>
    <row r="148" customFormat="false" ht="15" hidden="false" customHeight="false" outlineLevel="0" collapsed="false">
      <c r="A148" s="25" t="s">
        <v>867</v>
      </c>
      <c r="B148" s="25" t="s">
        <v>84</v>
      </c>
      <c r="C148" s="25" t="s">
        <v>85</v>
      </c>
      <c r="D148" s="32" t="s">
        <v>868</v>
      </c>
      <c r="E148" s="32"/>
      <c r="F148" s="25" t="s">
        <v>122</v>
      </c>
      <c r="G148" s="32" t="s">
        <v>366</v>
      </c>
      <c r="H148" s="25" t="s">
        <v>356</v>
      </c>
      <c r="I148" s="34"/>
      <c r="J148" s="33" t="n">
        <v>21</v>
      </c>
      <c r="K148" s="33" t="n">
        <v>64.1666666666667</v>
      </c>
      <c r="L148" s="34"/>
      <c r="M148" s="34"/>
      <c r="N148" s="34"/>
      <c r="O148" s="35" t="n">
        <f aca="false">IF(I148="",1,I148)*IF(J148="",1,J148)*IF(K148="",1,K148)*IF(L148="",1,L148)*IF(M148="",1,M148)-N(N148)</f>
        <v>1347.5</v>
      </c>
      <c r="P148" s="17" t="s">
        <v>357</v>
      </c>
      <c r="Q148" s="36" t="n">
        <v>0</v>
      </c>
      <c r="R148" s="35" t="n">
        <f aca="false">IF(S148="Y",ROUNDUP(O148*(1+Q148),0),O148*(1+Q148))</f>
        <v>1347.5</v>
      </c>
      <c r="S148" s="37" t="s">
        <v>322</v>
      </c>
      <c r="T148" s="38" t="s">
        <v>849</v>
      </c>
      <c r="U148" s="17" t="s">
        <v>359</v>
      </c>
      <c r="V148" s="17" t="s">
        <v>360</v>
      </c>
      <c r="W148" s="38"/>
    </row>
    <row r="149" customFormat="false" ht="15" hidden="false" customHeight="false" outlineLevel="0" collapsed="false">
      <c r="A149" s="25" t="s">
        <v>869</v>
      </c>
      <c r="B149" s="25" t="s">
        <v>84</v>
      </c>
      <c r="C149" s="25" t="s">
        <v>85</v>
      </c>
      <c r="D149" s="32" t="s">
        <v>870</v>
      </c>
      <c r="E149" s="32"/>
      <c r="F149" s="25" t="s">
        <v>122</v>
      </c>
      <c r="G149" s="32" t="s">
        <v>576</v>
      </c>
      <c r="H149" s="25" t="s">
        <v>356</v>
      </c>
      <c r="I149" s="34"/>
      <c r="J149" s="33" t="n">
        <v>21</v>
      </c>
      <c r="K149" s="33" t="n">
        <v>29.9166666666667</v>
      </c>
      <c r="L149" s="34"/>
      <c r="M149" s="34"/>
      <c r="N149" s="34"/>
      <c r="O149" s="35" t="n">
        <f aca="false">IF(I149="",1,I149)*IF(J149="",1,J149)*IF(K149="",1,K149)*IF(L149="",1,L149)*IF(M149="",1,M149)-N(N149)</f>
        <v>628.25</v>
      </c>
      <c r="P149" s="17" t="s">
        <v>357</v>
      </c>
      <c r="Q149" s="36" t="n">
        <v>0</v>
      </c>
      <c r="R149" s="35" t="n">
        <f aca="false">IF(S149="Y",ROUNDUP(O149*(1+Q149),0),O149*(1+Q149))</f>
        <v>628.25</v>
      </c>
      <c r="S149" s="37" t="s">
        <v>322</v>
      </c>
      <c r="T149" s="38" t="s">
        <v>871</v>
      </c>
      <c r="U149" s="17" t="s">
        <v>359</v>
      </c>
      <c r="V149" s="17" t="s">
        <v>360</v>
      </c>
      <c r="W149" s="38"/>
    </row>
    <row r="150" customFormat="false" ht="28.35" hidden="false" customHeight="false" outlineLevel="0" collapsed="false">
      <c r="A150" s="25" t="s">
        <v>872</v>
      </c>
      <c r="B150" s="25" t="s">
        <v>84</v>
      </c>
      <c r="C150" s="25" t="s">
        <v>85</v>
      </c>
      <c r="D150" s="32" t="s">
        <v>873</v>
      </c>
      <c r="E150" s="32"/>
      <c r="F150" s="25" t="s">
        <v>122</v>
      </c>
      <c r="G150" s="32" t="s">
        <v>728</v>
      </c>
      <c r="H150" s="25" t="s">
        <v>302</v>
      </c>
      <c r="I150" s="33" t="n">
        <v>64</v>
      </c>
      <c r="J150" s="34"/>
      <c r="K150" s="34"/>
      <c r="L150" s="34"/>
      <c r="M150" s="34"/>
      <c r="N150" s="34"/>
      <c r="O150" s="35" t="n">
        <f aca="false">IF(I150="",1,I150)*IF(J150="",1,J150)*IF(K150="",1,K150)*IF(L150="",1,L150)*IF(M150="",1,M150)-N(N150)</f>
        <v>64</v>
      </c>
      <c r="P150" s="17" t="s">
        <v>345</v>
      </c>
      <c r="Q150" s="36" t="n">
        <v>0</v>
      </c>
      <c r="R150" s="35" t="n">
        <f aca="false">IF(S150="Y",ROUNDUP(O150*(1+Q150),0),O150*(1+Q150))</f>
        <v>64</v>
      </c>
      <c r="S150" s="37" t="s">
        <v>322</v>
      </c>
      <c r="T150" s="38" t="s">
        <v>874</v>
      </c>
      <c r="U150" s="17" t="s">
        <v>181</v>
      </c>
      <c r="V150" s="17" t="s">
        <v>380</v>
      </c>
      <c r="W150" s="38" t="s">
        <v>875</v>
      </c>
    </row>
    <row r="151" customFormat="false" ht="23.85" hidden="false" customHeight="false" outlineLevel="0" collapsed="false">
      <c r="A151" s="25" t="s">
        <v>876</v>
      </c>
      <c r="B151" s="25" t="s">
        <v>84</v>
      </c>
      <c r="C151" s="25" t="s">
        <v>85</v>
      </c>
      <c r="D151" s="32" t="s">
        <v>877</v>
      </c>
      <c r="E151" s="32"/>
      <c r="F151" s="25" t="s">
        <v>142</v>
      </c>
      <c r="G151" s="32" t="s">
        <v>878</v>
      </c>
      <c r="H151" s="25" t="s">
        <v>302</v>
      </c>
      <c r="I151" s="33" t="n">
        <v>8</v>
      </c>
      <c r="J151" s="34"/>
      <c r="K151" s="34"/>
      <c r="L151" s="34"/>
      <c r="M151" s="34"/>
      <c r="N151" s="34"/>
      <c r="O151" s="35" t="n">
        <f aca="false">IF(I151="",1,I151)*IF(J151="",1,J151)*IF(K151="",1,K151)*IF(L151="",1,L151)*IF(M151="",1,M151)-N(N151)</f>
        <v>8</v>
      </c>
      <c r="P151" s="17" t="s">
        <v>345</v>
      </c>
      <c r="Q151" s="36" t="n">
        <v>0</v>
      </c>
      <c r="R151" s="35" t="n">
        <f aca="false">IF(S151="Y",ROUNDUP(O151*(1+Q151),0),O151*(1+Q151))</f>
        <v>8</v>
      </c>
      <c r="S151" s="37" t="s">
        <v>322</v>
      </c>
      <c r="T151" s="38"/>
      <c r="U151" s="17" t="s">
        <v>359</v>
      </c>
      <c r="V151" s="17" t="s">
        <v>323</v>
      </c>
      <c r="W151" s="38"/>
    </row>
    <row r="152" customFormat="false" ht="15" hidden="false" customHeight="false" outlineLevel="0" collapsed="false">
      <c r="A152" s="25" t="s">
        <v>879</v>
      </c>
      <c r="B152" s="25" t="s">
        <v>84</v>
      </c>
      <c r="C152" s="25" t="s">
        <v>85</v>
      </c>
      <c r="D152" s="32" t="s">
        <v>880</v>
      </c>
      <c r="E152" s="32"/>
      <c r="F152" s="25" t="s">
        <v>122</v>
      </c>
      <c r="G152" s="32" t="s">
        <v>881</v>
      </c>
      <c r="H152" s="25" t="s">
        <v>302</v>
      </c>
      <c r="I152" s="33" t="n">
        <v>4</v>
      </c>
      <c r="J152" s="34"/>
      <c r="K152" s="34"/>
      <c r="L152" s="34"/>
      <c r="M152" s="34"/>
      <c r="N152" s="34"/>
      <c r="O152" s="35" t="n">
        <f aca="false">IF(I152="",1,I152)*IF(J152="",1,J152)*IF(K152="",1,K152)*IF(L152="",1,L152)*IF(M152="",1,M152)-N(N152)</f>
        <v>4</v>
      </c>
      <c r="P152" s="17" t="s">
        <v>345</v>
      </c>
      <c r="Q152" s="36" t="n">
        <v>0</v>
      </c>
      <c r="R152" s="35" t="n">
        <f aca="false">IF(S152="Y",ROUNDUP(O152*(1+Q152),0),O152*(1+Q152))</f>
        <v>4</v>
      </c>
      <c r="S152" s="37" t="s">
        <v>322</v>
      </c>
      <c r="T152" s="38"/>
      <c r="U152" s="17" t="s">
        <v>181</v>
      </c>
      <c r="V152" s="17" t="s">
        <v>323</v>
      </c>
      <c r="W152" s="38"/>
    </row>
    <row r="153" customFormat="false" ht="28.35" hidden="false" customHeight="false" outlineLevel="0" collapsed="false">
      <c r="A153" s="25" t="s">
        <v>882</v>
      </c>
      <c r="B153" s="25" t="s">
        <v>84</v>
      </c>
      <c r="C153" s="25" t="s">
        <v>85</v>
      </c>
      <c r="D153" s="32" t="s">
        <v>883</v>
      </c>
      <c r="E153" s="32" t="s">
        <v>855</v>
      </c>
      <c r="F153" s="25" t="s">
        <v>505</v>
      </c>
      <c r="G153" s="32" t="s">
        <v>884</v>
      </c>
      <c r="H153" s="25" t="s">
        <v>302</v>
      </c>
      <c r="I153" s="33" t="n">
        <v>23</v>
      </c>
      <c r="J153" s="34"/>
      <c r="K153" s="34"/>
      <c r="L153" s="34"/>
      <c r="M153" s="34"/>
      <c r="N153" s="34"/>
      <c r="O153" s="35" t="n">
        <f aca="false">IF(I153="",1,I153)*IF(J153="",1,J153)*IF(K153="",1,K153)*IF(L153="",1,L153)*IF(M153="",1,M153)-N(N153)</f>
        <v>23</v>
      </c>
      <c r="P153" s="17" t="s">
        <v>345</v>
      </c>
      <c r="Q153" s="36" t="n">
        <v>0</v>
      </c>
      <c r="R153" s="35" t="n">
        <f aca="false">IF(S153="Y",ROUNDUP(O153*(1+Q153),0),O153*(1+Q153))</f>
        <v>23</v>
      </c>
      <c r="S153" s="37" t="s">
        <v>322</v>
      </c>
      <c r="T153" s="38" t="s">
        <v>885</v>
      </c>
      <c r="U153" s="17" t="s">
        <v>460</v>
      </c>
      <c r="V153" s="17" t="s">
        <v>323</v>
      </c>
      <c r="W153" s="38"/>
    </row>
    <row r="154" customFormat="false" ht="15" hidden="false" customHeight="false" outlineLevel="0" collapsed="false">
      <c r="A154" s="25" t="s">
        <v>886</v>
      </c>
      <c r="B154" s="25" t="s">
        <v>84</v>
      </c>
      <c r="C154" s="25" t="s">
        <v>85</v>
      </c>
      <c r="D154" s="32" t="s">
        <v>887</v>
      </c>
      <c r="E154" s="32" t="s">
        <v>888</v>
      </c>
      <c r="F154" s="25" t="s">
        <v>505</v>
      </c>
      <c r="G154" s="32" t="s">
        <v>889</v>
      </c>
      <c r="H154" s="25" t="s">
        <v>302</v>
      </c>
      <c r="I154" s="33" t="n">
        <v>2</v>
      </c>
      <c r="J154" s="34"/>
      <c r="K154" s="34"/>
      <c r="L154" s="34"/>
      <c r="M154" s="34"/>
      <c r="N154" s="34"/>
      <c r="O154" s="35" t="n">
        <f aca="false">IF(I154="",1,I154)*IF(J154="",1,J154)*IF(K154="",1,K154)*IF(L154="",1,L154)*IF(M154="",1,M154)-N(N154)</f>
        <v>2</v>
      </c>
      <c r="P154" s="17" t="s">
        <v>345</v>
      </c>
      <c r="Q154" s="36" t="n">
        <v>0</v>
      </c>
      <c r="R154" s="35" t="n">
        <f aca="false">IF(S154="Y",ROUNDUP(O154*(1+Q154),0),O154*(1+Q154))</f>
        <v>2</v>
      </c>
      <c r="S154" s="37" t="s">
        <v>322</v>
      </c>
      <c r="T154" s="38"/>
      <c r="U154" s="17" t="s">
        <v>460</v>
      </c>
      <c r="V154" s="17" t="s">
        <v>360</v>
      </c>
      <c r="W154" s="38"/>
    </row>
    <row r="155" customFormat="false" ht="15" hidden="false" customHeight="false" outlineLevel="0" collapsed="false">
      <c r="A155" s="25" t="s">
        <v>890</v>
      </c>
      <c r="B155" s="25" t="s">
        <v>84</v>
      </c>
      <c r="C155" s="25" t="s">
        <v>85</v>
      </c>
      <c r="D155" s="32" t="s">
        <v>891</v>
      </c>
      <c r="E155" s="32" t="s">
        <v>139</v>
      </c>
      <c r="F155" s="25" t="s">
        <v>505</v>
      </c>
      <c r="G155" s="32" t="s">
        <v>892</v>
      </c>
      <c r="H155" s="25" t="s">
        <v>302</v>
      </c>
      <c r="I155" s="33" t="n">
        <v>3</v>
      </c>
      <c r="J155" s="34"/>
      <c r="K155" s="34"/>
      <c r="L155" s="34"/>
      <c r="M155" s="34"/>
      <c r="N155" s="34"/>
      <c r="O155" s="35" t="n">
        <f aca="false">IF(I155="",1,I155)*IF(J155="",1,J155)*IF(K155="",1,K155)*IF(L155="",1,L155)*IF(M155="",1,M155)-N(N155)</f>
        <v>3</v>
      </c>
      <c r="P155" s="17" t="s">
        <v>345</v>
      </c>
      <c r="Q155" s="36" t="n">
        <v>0</v>
      </c>
      <c r="R155" s="35" t="n">
        <f aca="false">IF(S155="Y",ROUNDUP(O155*(1+Q155),0),O155*(1+Q155))</f>
        <v>3</v>
      </c>
      <c r="S155" s="37" t="s">
        <v>322</v>
      </c>
      <c r="T155" s="38"/>
      <c r="U155" s="17" t="s">
        <v>460</v>
      </c>
      <c r="V155" s="17" t="s">
        <v>360</v>
      </c>
      <c r="W155" s="38"/>
    </row>
    <row r="156" customFormat="false" ht="15" hidden="false" customHeight="false" outlineLevel="0" collapsed="false">
      <c r="A156" s="25" t="s">
        <v>893</v>
      </c>
      <c r="B156" s="25" t="s">
        <v>84</v>
      </c>
      <c r="C156" s="25" t="s">
        <v>85</v>
      </c>
      <c r="D156" s="32" t="s">
        <v>894</v>
      </c>
      <c r="E156" s="32" t="s">
        <v>139</v>
      </c>
      <c r="F156" s="25" t="s">
        <v>139</v>
      </c>
      <c r="G156" s="32" t="s">
        <v>763</v>
      </c>
      <c r="H156" s="25" t="s">
        <v>302</v>
      </c>
      <c r="I156" s="33" t="n">
        <v>2</v>
      </c>
      <c r="J156" s="34"/>
      <c r="K156" s="34"/>
      <c r="L156" s="34"/>
      <c r="M156" s="34"/>
      <c r="N156" s="34"/>
      <c r="O156" s="35" t="n">
        <f aca="false">IF(I156="",1,I156)*IF(J156="",1,J156)*IF(K156="",1,K156)*IF(L156="",1,L156)*IF(M156="",1,M156)-N(N156)</f>
        <v>2</v>
      </c>
      <c r="P156" s="17" t="s">
        <v>345</v>
      </c>
      <c r="Q156" s="36" t="n">
        <v>0</v>
      </c>
      <c r="R156" s="35" t="n">
        <f aca="false">IF(S156="Y",ROUNDUP(O156*(1+Q156),0),O156*(1+Q156))</f>
        <v>2</v>
      </c>
      <c r="S156" s="37" t="s">
        <v>322</v>
      </c>
      <c r="T156" s="38"/>
      <c r="U156" s="17" t="s">
        <v>460</v>
      </c>
      <c r="V156" s="17" t="s">
        <v>360</v>
      </c>
      <c r="W156" s="38"/>
    </row>
    <row r="157" customFormat="false" ht="23.85" hidden="false" customHeight="false" outlineLevel="0" collapsed="false">
      <c r="A157" s="25" t="s">
        <v>895</v>
      </c>
      <c r="B157" s="25" t="s">
        <v>84</v>
      </c>
      <c r="C157" s="25" t="s">
        <v>85</v>
      </c>
      <c r="D157" s="32" t="s">
        <v>896</v>
      </c>
      <c r="E157" s="32" t="s">
        <v>897</v>
      </c>
      <c r="F157" s="25" t="s">
        <v>498</v>
      </c>
      <c r="G157" s="32" t="s">
        <v>269</v>
      </c>
      <c r="H157" s="25" t="s">
        <v>302</v>
      </c>
      <c r="I157" s="33" t="n">
        <v>8</v>
      </c>
      <c r="J157" s="34"/>
      <c r="K157" s="34"/>
      <c r="L157" s="34"/>
      <c r="M157" s="34"/>
      <c r="N157" s="34"/>
      <c r="O157" s="35" t="n">
        <f aca="false">IF(I157="",1,I157)*IF(J157="",1,J157)*IF(K157="",1,K157)*IF(L157="",1,L157)*IF(M157="",1,M157)-N(N157)</f>
        <v>8</v>
      </c>
      <c r="P157" s="17" t="s">
        <v>345</v>
      </c>
      <c r="Q157" s="36" t="n">
        <v>0</v>
      </c>
      <c r="R157" s="35" t="n">
        <f aca="false">IF(S157="Y",ROUNDUP(O157*(1+Q157),0),O157*(1+Q157))</f>
        <v>8</v>
      </c>
      <c r="S157" s="37" t="s">
        <v>322</v>
      </c>
      <c r="T157" s="38"/>
      <c r="U157" s="17" t="s">
        <v>181</v>
      </c>
      <c r="V157" s="17" t="s">
        <v>323</v>
      </c>
      <c r="W157" s="38"/>
    </row>
    <row r="158" customFormat="false" ht="15" hidden="false" customHeight="false" outlineLevel="0" collapsed="false">
      <c r="A158" s="25" t="s">
        <v>898</v>
      </c>
      <c r="B158" s="25" t="s">
        <v>84</v>
      </c>
      <c r="C158" s="25" t="s">
        <v>85</v>
      </c>
      <c r="D158" s="32" t="s">
        <v>899</v>
      </c>
      <c r="E158" s="32"/>
      <c r="F158" s="25" t="s">
        <v>142</v>
      </c>
      <c r="G158" s="32" t="s">
        <v>494</v>
      </c>
      <c r="H158" s="25" t="s">
        <v>320</v>
      </c>
      <c r="I158" s="33" t="n">
        <v>1</v>
      </c>
      <c r="J158" s="34"/>
      <c r="K158" s="34"/>
      <c r="L158" s="34"/>
      <c r="M158" s="34"/>
      <c r="N158" s="34"/>
      <c r="O158" s="35" t="n">
        <f aca="false">IF(I158="",1,I158)*IF(J158="",1,J158)*IF(K158="",1,K158)*IF(L158="",1,L158)*IF(M158="",1,M158)-N(N158)</f>
        <v>1</v>
      </c>
      <c r="P158" s="17" t="s">
        <v>321</v>
      </c>
      <c r="Q158" s="36" t="n">
        <v>0</v>
      </c>
      <c r="R158" s="35" t="n">
        <f aca="false">IF(S158="Y",ROUNDUP(O158*(1+Q158),0),O158*(1+Q158))</f>
        <v>1</v>
      </c>
      <c r="S158" s="37" t="s">
        <v>322</v>
      </c>
      <c r="T158" s="38"/>
      <c r="U158" s="17" t="s">
        <v>320</v>
      </c>
      <c r="V158" s="17" t="s">
        <v>323</v>
      </c>
      <c r="W158" s="38"/>
    </row>
    <row r="159" customFormat="false" ht="15" hidden="false" customHeight="false" outlineLevel="0" collapsed="false">
      <c r="A159" s="25" t="s">
        <v>900</v>
      </c>
      <c r="B159" s="25" t="s">
        <v>84</v>
      </c>
      <c r="C159" s="25" t="s">
        <v>85</v>
      </c>
      <c r="D159" s="32" t="s">
        <v>901</v>
      </c>
      <c r="E159" s="32"/>
      <c r="F159" s="25" t="s">
        <v>142</v>
      </c>
      <c r="G159" s="32" t="s">
        <v>1</v>
      </c>
      <c r="H159" s="25" t="s">
        <v>320</v>
      </c>
      <c r="I159" s="33" t="n">
        <v>1</v>
      </c>
      <c r="J159" s="34"/>
      <c r="K159" s="34"/>
      <c r="L159" s="34"/>
      <c r="M159" s="34"/>
      <c r="N159" s="34"/>
      <c r="O159" s="35" t="n">
        <f aca="false">IF(I159="",1,I159)*IF(J159="",1,J159)*IF(K159="",1,K159)*IF(L159="",1,L159)*IF(M159="",1,M159)-N(N159)</f>
        <v>1</v>
      </c>
      <c r="P159" s="17" t="s">
        <v>321</v>
      </c>
      <c r="Q159" s="36" t="n">
        <v>0</v>
      </c>
      <c r="R159" s="35" t="n">
        <f aca="false">IF(S159="Y",ROUNDUP(O159*(1+Q159),0),O159*(1+Q159))</f>
        <v>1</v>
      </c>
      <c r="S159" s="37" t="s">
        <v>322</v>
      </c>
      <c r="T159" s="38"/>
      <c r="U159" s="17" t="s">
        <v>320</v>
      </c>
      <c r="V159" s="17" t="s">
        <v>323</v>
      </c>
      <c r="W159" s="38"/>
    </row>
    <row r="160" customFormat="false" ht="15" hidden="false" customHeight="false" outlineLevel="0" collapsed="false">
      <c r="A160" s="25" t="s">
        <v>902</v>
      </c>
      <c r="B160" s="25" t="s">
        <v>86</v>
      </c>
      <c r="C160" s="25" t="s">
        <v>87</v>
      </c>
      <c r="D160" s="32" t="s">
        <v>903</v>
      </c>
      <c r="E160" s="32" t="s">
        <v>904</v>
      </c>
      <c r="F160" s="25" t="s">
        <v>905</v>
      </c>
      <c r="G160" s="32" t="s">
        <v>906</v>
      </c>
      <c r="H160" s="25" t="s">
        <v>356</v>
      </c>
      <c r="I160" s="34"/>
      <c r="J160" s="33" t="n">
        <v>12</v>
      </c>
      <c r="K160" s="33" t="n">
        <v>129.08</v>
      </c>
      <c r="L160" s="34"/>
      <c r="M160" s="34"/>
      <c r="N160" s="34"/>
      <c r="O160" s="35" t="n">
        <f aca="false">IF(I160="",1,I160)*IF(J160="",1,J160)*IF(K160="",1,K160)*IF(L160="",1,L160)*IF(M160="",1,M160)-N(N160)</f>
        <v>1548.96</v>
      </c>
      <c r="P160" s="17" t="s">
        <v>357</v>
      </c>
      <c r="Q160" s="36" t="n">
        <v>0</v>
      </c>
      <c r="R160" s="35" t="n">
        <f aca="false">IF(S160="Y",ROUNDUP(O160*(1+Q160),0),O160*(1+Q160))</f>
        <v>1548.96</v>
      </c>
      <c r="S160" s="37" t="s">
        <v>322</v>
      </c>
      <c r="T160" s="38" t="s">
        <v>907</v>
      </c>
      <c r="U160" s="17" t="s">
        <v>460</v>
      </c>
      <c r="V160" s="17" t="s">
        <v>323</v>
      </c>
      <c r="W160" s="38" t="s">
        <v>908</v>
      </c>
    </row>
    <row r="161" customFormat="false" ht="15" hidden="false" customHeight="false" outlineLevel="0" collapsed="false">
      <c r="A161" s="25" t="s">
        <v>909</v>
      </c>
      <c r="B161" s="25" t="s">
        <v>86</v>
      </c>
      <c r="C161" s="25" t="s">
        <v>87</v>
      </c>
      <c r="D161" s="32" t="s">
        <v>910</v>
      </c>
      <c r="E161" s="32" t="s">
        <v>122</v>
      </c>
      <c r="F161" s="25" t="s">
        <v>122</v>
      </c>
      <c r="G161" s="32" t="s">
        <v>911</v>
      </c>
      <c r="H161" s="25" t="s">
        <v>356</v>
      </c>
      <c r="I161" s="34"/>
      <c r="J161" s="33" t="n">
        <v>9</v>
      </c>
      <c r="K161" s="33" t="n">
        <v>24</v>
      </c>
      <c r="L161" s="34"/>
      <c r="M161" s="34"/>
      <c r="N161" s="34"/>
      <c r="O161" s="35" t="n">
        <f aca="false">IF(I161="",1,I161)*IF(J161="",1,J161)*IF(K161="",1,K161)*IF(L161="",1,L161)*IF(M161="",1,M161)-N(N161)</f>
        <v>216</v>
      </c>
      <c r="P161" s="17" t="s">
        <v>357</v>
      </c>
      <c r="Q161" s="36" t="n">
        <v>0</v>
      </c>
      <c r="R161" s="35" t="n">
        <f aca="false">IF(S161="Y",ROUNDUP(O161*(1+Q161),0),O161*(1+Q161))</f>
        <v>216</v>
      </c>
      <c r="S161" s="37" t="s">
        <v>322</v>
      </c>
      <c r="T161" s="38" t="s">
        <v>912</v>
      </c>
      <c r="U161" s="17" t="s">
        <v>460</v>
      </c>
      <c r="V161" s="17" t="s">
        <v>360</v>
      </c>
      <c r="W161" s="38"/>
    </row>
    <row r="162" customFormat="false" ht="15" hidden="false" customHeight="false" outlineLevel="0" collapsed="false">
      <c r="A162" s="25" t="s">
        <v>913</v>
      </c>
      <c r="B162" s="25" t="s">
        <v>86</v>
      </c>
      <c r="C162" s="25" t="s">
        <v>87</v>
      </c>
      <c r="D162" s="32" t="s">
        <v>914</v>
      </c>
      <c r="E162" s="32" t="s">
        <v>122</v>
      </c>
      <c r="F162" s="25" t="s">
        <v>122</v>
      </c>
      <c r="G162" s="32" t="s">
        <v>447</v>
      </c>
      <c r="H162" s="25" t="s">
        <v>356</v>
      </c>
      <c r="I162" s="34"/>
      <c r="J162" s="33" t="n">
        <v>10.4</v>
      </c>
      <c r="K162" s="33" t="n">
        <v>6</v>
      </c>
      <c r="L162" s="34"/>
      <c r="M162" s="34"/>
      <c r="N162" s="34"/>
      <c r="O162" s="35" t="n">
        <f aca="false">IF(I162="",1,I162)*IF(J162="",1,J162)*IF(K162="",1,K162)*IF(L162="",1,L162)*IF(M162="",1,M162)-N(N162)</f>
        <v>62.4</v>
      </c>
      <c r="P162" s="17" t="s">
        <v>357</v>
      </c>
      <c r="Q162" s="36" t="n">
        <v>0</v>
      </c>
      <c r="R162" s="35" t="n">
        <f aca="false">IF(S162="Y",ROUNDUP(O162*(1+Q162),0),O162*(1+Q162))</f>
        <v>62.4</v>
      </c>
      <c r="S162" s="37" t="s">
        <v>322</v>
      </c>
      <c r="T162" s="38" t="s">
        <v>915</v>
      </c>
      <c r="U162" s="17" t="s">
        <v>460</v>
      </c>
      <c r="V162" s="17" t="s">
        <v>323</v>
      </c>
      <c r="W162" s="38"/>
    </row>
    <row r="163" customFormat="false" ht="15" hidden="false" customHeight="false" outlineLevel="0" collapsed="false">
      <c r="A163" s="25" t="s">
        <v>916</v>
      </c>
      <c r="B163" s="25" t="s">
        <v>86</v>
      </c>
      <c r="C163" s="25" t="s">
        <v>87</v>
      </c>
      <c r="D163" s="32" t="s">
        <v>917</v>
      </c>
      <c r="E163" s="32"/>
      <c r="F163" s="25" t="s">
        <v>115</v>
      </c>
      <c r="G163" s="32" t="s">
        <v>918</v>
      </c>
      <c r="H163" s="25" t="s">
        <v>320</v>
      </c>
      <c r="I163" s="33" t="n">
        <v>1</v>
      </c>
      <c r="J163" s="34"/>
      <c r="K163" s="34"/>
      <c r="L163" s="34"/>
      <c r="M163" s="34"/>
      <c r="N163" s="34"/>
      <c r="O163" s="35" t="n">
        <f aca="false">IF(I163="",1,I163)*IF(J163="",1,J163)*IF(K163="",1,K163)*IF(L163="",1,L163)*IF(M163="",1,M163)-N(N163)</f>
        <v>1</v>
      </c>
      <c r="P163" s="17" t="s">
        <v>321</v>
      </c>
      <c r="Q163" s="36" t="n">
        <v>0</v>
      </c>
      <c r="R163" s="35" t="n">
        <f aca="false">IF(S163="Y",ROUNDUP(O163*(1+Q163),0),O163*(1+Q163))</f>
        <v>1</v>
      </c>
      <c r="S163" s="37" t="s">
        <v>322</v>
      </c>
      <c r="T163" s="38"/>
      <c r="U163" s="17" t="s">
        <v>320</v>
      </c>
      <c r="V163" s="17" t="s">
        <v>380</v>
      </c>
      <c r="W163" s="38" t="s">
        <v>163</v>
      </c>
    </row>
    <row r="164" customFormat="false" ht="15" hidden="false" customHeight="false" outlineLevel="0" collapsed="false">
      <c r="A164" s="25" t="s">
        <v>919</v>
      </c>
      <c r="B164" s="25" t="s">
        <v>86</v>
      </c>
      <c r="C164" s="25" t="s">
        <v>87</v>
      </c>
      <c r="D164" s="32" t="s">
        <v>920</v>
      </c>
      <c r="E164" s="32" t="s">
        <v>921</v>
      </c>
      <c r="F164" s="25" t="s">
        <v>122</v>
      </c>
      <c r="G164" s="32" t="s">
        <v>922</v>
      </c>
      <c r="H164" s="25" t="s">
        <v>302</v>
      </c>
      <c r="I164" s="33" t="n">
        <v>12</v>
      </c>
      <c r="J164" s="34"/>
      <c r="K164" s="34"/>
      <c r="L164" s="34"/>
      <c r="M164" s="34"/>
      <c r="N164" s="34"/>
      <c r="O164" s="35" t="n">
        <f aca="false">IF(I164="",1,I164)*IF(J164="",1,J164)*IF(K164="",1,K164)*IF(L164="",1,L164)*IF(M164="",1,M164)-N(N164)</f>
        <v>12</v>
      </c>
      <c r="P164" s="17" t="s">
        <v>345</v>
      </c>
      <c r="Q164" s="36" t="n">
        <v>0</v>
      </c>
      <c r="R164" s="35" t="n">
        <f aca="false">IF(S164="Y",ROUNDUP(O164*(1+Q164),0),O164*(1+Q164))</f>
        <v>12</v>
      </c>
      <c r="S164" s="37" t="s">
        <v>322</v>
      </c>
      <c r="T164" s="38"/>
      <c r="U164" s="17" t="s">
        <v>460</v>
      </c>
      <c r="V164" s="17" t="s">
        <v>323</v>
      </c>
      <c r="W164" s="38"/>
    </row>
    <row r="165" customFormat="false" ht="15" hidden="false" customHeight="false" outlineLevel="0" collapsed="false">
      <c r="A165" s="25" t="s">
        <v>923</v>
      </c>
      <c r="B165" s="25" t="s">
        <v>86</v>
      </c>
      <c r="C165" s="25" t="s">
        <v>87</v>
      </c>
      <c r="D165" s="32" t="s">
        <v>924</v>
      </c>
      <c r="E165" s="32"/>
      <c r="F165" s="25" t="s">
        <v>122</v>
      </c>
      <c r="G165" s="32" t="s">
        <v>925</v>
      </c>
      <c r="H165" s="25" t="s">
        <v>356</v>
      </c>
      <c r="I165" s="34"/>
      <c r="J165" s="33" t="n">
        <v>4</v>
      </c>
      <c r="K165" s="33" t="n">
        <v>64.17</v>
      </c>
      <c r="L165" s="34"/>
      <c r="M165" s="34"/>
      <c r="N165" s="34"/>
      <c r="O165" s="35" t="n">
        <f aca="false">IF(I165="",1,I165)*IF(J165="",1,J165)*IF(K165="",1,K165)*IF(L165="",1,L165)*IF(M165="",1,M165)-N(N165)</f>
        <v>256.68</v>
      </c>
      <c r="P165" s="17" t="s">
        <v>357</v>
      </c>
      <c r="Q165" s="36" t="n">
        <v>0</v>
      </c>
      <c r="R165" s="35" t="n">
        <f aca="false">IF(S165="Y",ROUNDUP(O165*(1+Q165),0),O165*(1+Q165))</f>
        <v>256.68</v>
      </c>
      <c r="S165" s="37" t="s">
        <v>322</v>
      </c>
      <c r="T165" s="38" t="s">
        <v>926</v>
      </c>
      <c r="U165" s="17" t="s">
        <v>460</v>
      </c>
      <c r="V165" s="17" t="s">
        <v>360</v>
      </c>
      <c r="W165" s="38"/>
    </row>
    <row r="166" customFormat="false" ht="15" hidden="false" customHeight="false" outlineLevel="0" collapsed="false">
      <c r="A166" s="25" t="s">
        <v>927</v>
      </c>
      <c r="B166" s="25" t="s">
        <v>86</v>
      </c>
      <c r="C166" s="25" t="s">
        <v>87</v>
      </c>
      <c r="D166" s="32" t="s">
        <v>928</v>
      </c>
      <c r="E166" s="32" t="s">
        <v>929</v>
      </c>
      <c r="F166" s="25" t="s">
        <v>122</v>
      </c>
      <c r="G166" s="32" t="s">
        <v>930</v>
      </c>
      <c r="H166" s="25" t="s">
        <v>302</v>
      </c>
      <c r="I166" s="33" t="n">
        <v>1</v>
      </c>
      <c r="J166" s="34"/>
      <c r="K166" s="34"/>
      <c r="L166" s="34"/>
      <c r="M166" s="34"/>
      <c r="N166" s="34"/>
      <c r="O166" s="35" t="n">
        <f aca="false">IF(I166="",1,I166)*IF(J166="",1,J166)*IF(K166="",1,K166)*IF(L166="",1,L166)*IF(M166="",1,M166)-N(N166)</f>
        <v>1</v>
      </c>
      <c r="P166" s="17" t="s">
        <v>345</v>
      </c>
      <c r="Q166" s="36" t="n">
        <v>0</v>
      </c>
      <c r="R166" s="35" t="n">
        <f aca="false">IF(S166="Y",ROUNDUP(O166*(1+Q166),0),O166*(1+Q166))</f>
        <v>1</v>
      </c>
      <c r="S166" s="37" t="s">
        <v>322</v>
      </c>
      <c r="T166" s="38"/>
      <c r="U166" s="17" t="s">
        <v>460</v>
      </c>
      <c r="V166" s="17" t="s">
        <v>360</v>
      </c>
      <c r="W166" s="38"/>
    </row>
    <row r="167" customFormat="false" ht="15" hidden="false" customHeight="false" outlineLevel="0" collapsed="false">
      <c r="A167" s="25" t="s">
        <v>931</v>
      </c>
      <c r="B167" s="25" t="s">
        <v>86</v>
      </c>
      <c r="C167" s="25" t="s">
        <v>87</v>
      </c>
      <c r="D167" s="32" t="s">
        <v>932</v>
      </c>
      <c r="E167" s="32"/>
      <c r="F167" s="25" t="s">
        <v>115</v>
      </c>
      <c r="G167" s="32" t="s">
        <v>933</v>
      </c>
      <c r="H167" s="25" t="s">
        <v>356</v>
      </c>
      <c r="I167" s="34"/>
      <c r="J167" s="33" t="n">
        <v>1700</v>
      </c>
      <c r="K167" s="34"/>
      <c r="L167" s="34"/>
      <c r="M167" s="34"/>
      <c r="N167" s="34"/>
      <c r="O167" s="35" t="n">
        <f aca="false">IF(I167="",1,I167)*IF(J167="",1,J167)*IF(K167="",1,K167)*IF(L167="",1,L167)*IF(M167="",1,M167)-N(N167)</f>
        <v>1700</v>
      </c>
      <c r="P167" s="17" t="s">
        <v>357</v>
      </c>
      <c r="Q167" s="36" t="n">
        <v>0</v>
      </c>
      <c r="R167" s="35" t="n">
        <f aca="false">IF(S167="Y",ROUNDUP(O167*(1+Q167),0),O167*(1+Q167))</f>
        <v>1700</v>
      </c>
      <c r="S167" s="37" t="s">
        <v>322</v>
      </c>
      <c r="T167" s="38" t="s">
        <v>934</v>
      </c>
      <c r="U167" s="17" t="s">
        <v>181</v>
      </c>
      <c r="V167" s="17" t="s">
        <v>323</v>
      </c>
      <c r="W167" s="38"/>
    </row>
    <row r="168" customFormat="false" ht="15" hidden="false" customHeight="false" outlineLevel="0" collapsed="false">
      <c r="A168" s="25" t="s">
        <v>935</v>
      </c>
      <c r="B168" s="25" t="s">
        <v>86</v>
      </c>
      <c r="C168" s="25" t="s">
        <v>87</v>
      </c>
      <c r="D168" s="32" t="s">
        <v>936</v>
      </c>
      <c r="E168" s="32"/>
      <c r="F168" s="25" t="s">
        <v>115</v>
      </c>
      <c r="G168" s="32" t="s">
        <v>937</v>
      </c>
      <c r="H168" s="25" t="s">
        <v>356</v>
      </c>
      <c r="I168" s="34"/>
      <c r="J168" s="34"/>
      <c r="K168" s="34"/>
      <c r="L168" s="34"/>
      <c r="M168" s="34"/>
      <c r="N168" s="34"/>
      <c r="O168" s="35" t="n">
        <f aca="false">50*180-1975.8-(O160-120)-O161-O162-O165-O167</f>
        <v>3360.16</v>
      </c>
      <c r="P168" s="17" t="s">
        <v>357</v>
      </c>
      <c r="Q168" s="36" t="n">
        <v>0</v>
      </c>
      <c r="R168" s="35" t="n">
        <f aca="false">IF(S168="Y",ROUNDUP(O168*(1+Q168),0),O168*(1+Q168))</f>
        <v>3360.16</v>
      </c>
      <c r="S168" s="37" t="s">
        <v>322</v>
      </c>
      <c r="T168" s="38" t="s">
        <v>938</v>
      </c>
      <c r="U168" s="17" t="s">
        <v>359</v>
      </c>
      <c r="V168" s="17" t="s">
        <v>323</v>
      </c>
      <c r="W168" s="38"/>
    </row>
    <row r="169" customFormat="false" ht="15" hidden="false" customHeight="false" outlineLevel="0" collapsed="false">
      <c r="A169" s="25" t="s">
        <v>939</v>
      </c>
      <c r="B169" s="25" t="s">
        <v>88</v>
      </c>
      <c r="C169" s="25" t="s">
        <v>89</v>
      </c>
      <c r="D169" s="32" t="s">
        <v>940</v>
      </c>
      <c r="E169" s="32"/>
      <c r="F169" s="25" t="s">
        <v>115</v>
      </c>
      <c r="G169" s="32" t="s">
        <v>941</v>
      </c>
      <c r="H169" s="25" t="s">
        <v>400</v>
      </c>
      <c r="I169" s="34"/>
      <c r="J169" s="33" t="n">
        <v>45</v>
      </c>
      <c r="K169" s="34"/>
      <c r="L169" s="34"/>
      <c r="M169" s="34"/>
      <c r="N169" s="34"/>
      <c r="O169" s="35" t="n">
        <f aca="false">IF(I169="",1,I169)*IF(J169="",1,J169)*IF(K169="",1,K169)*IF(L169="",1,L169)*IF(M169="",1,M169)-N(N169)</f>
        <v>45</v>
      </c>
      <c r="P169" s="17" t="s">
        <v>401</v>
      </c>
      <c r="Q169" s="36" t="n">
        <v>0</v>
      </c>
      <c r="R169" s="35" t="n">
        <f aca="false">IF(S169="Y",ROUNDUP(O169*(1+Q169),0),O169*(1+Q169))</f>
        <v>45</v>
      </c>
      <c r="S169" s="37" t="s">
        <v>322</v>
      </c>
      <c r="T169" s="38"/>
      <c r="U169" s="17" t="s">
        <v>181</v>
      </c>
      <c r="V169" s="17" t="s">
        <v>380</v>
      </c>
      <c r="W169" s="38" t="s">
        <v>942</v>
      </c>
    </row>
    <row r="170" customFormat="false" ht="15" hidden="false" customHeight="false" outlineLevel="0" collapsed="false">
      <c r="A170" s="25" t="s">
        <v>943</v>
      </c>
      <c r="B170" s="25" t="s">
        <v>88</v>
      </c>
      <c r="C170" s="25" t="s">
        <v>89</v>
      </c>
      <c r="D170" s="32" t="s">
        <v>944</v>
      </c>
      <c r="E170" s="32"/>
      <c r="F170" s="25" t="s">
        <v>115</v>
      </c>
      <c r="G170" s="32" t="s">
        <v>941</v>
      </c>
      <c r="H170" s="25" t="s">
        <v>400</v>
      </c>
      <c r="I170" s="34"/>
      <c r="J170" s="33" t="n">
        <v>50</v>
      </c>
      <c r="K170" s="34"/>
      <c r="L170" s="34"/>
      <c r="M170" s="34"/>
      <c r="N170" s="34"/>
      <c r="O170" s="35" t="n">
        <f aca="false">IF(I170="",1,I170)*IF(J170="",1,J170)*IF(K170="",1,K170)*IF(L170="",1,L170)*IF(M170="",1,M170)-N(N170)</f>
        <v>50</v>
      </c>
      <c r="P170" s="17" t="s">
        <v>401</v>
      </c>
      <c r="Q170" s="36" t="n">
        <v>0</v>
      </c>
      <c r="R170" s="35" t="n">
        <f aca="false">IF(S170="Y",ROUNDUP(O170*(1+Q170),0),O170*(1+Q170))</f>
        <v>50</v>
      </c>
      <c r="S170" s="37" t="s">
        <v>322</v>
      </c>
      <c r="T170" s="38"/>
      <c r="U170" s="17" t="s">
        <v>181</v>
      </c>
      <c r="V170" s="17" t="s">
        <v>380</v>
      </c>
      <c r="W170" s="38"/>
    </row>
    <row r="171" customFormat="false" ht="28.35" hidden="false" customHeight="false" outlineLevel="0" collapsed="false">
      <c r="A171" s="25" t="s">
        <v>945</v>
      </c>
      <c r="B171" s="25" t="s">
        <v>88</v>
      </c>
      <c r="C171" s="25" t="s">
        <v>89</v>
      </c>
      <c r="D171" s="32" t="s">
        <v>946</v>
      </c>
      <c r="E171" s="32"/>
      <c r="F171" s="25" t="s">
        <v>142</v>
      </c>
      <c r="G171" s="32" t="s">
        <v>947</v>
      </c>
      <c r="H171" s="25" t="s">
        <v>320</v>
      </c>
      <c r="I171" s="33" t="n">
        <v>1</v>
      </c>
      <c r="J171" s="34"/>
      <c r="K171" s="34"/>
      <c r="L171" s="34"/>
      <c r="M171" s="34"/>
      <c r="N171" s="34"/>
      <c r="O171" s="35" t="n">
        <f aca="false">IF(I171="",1,I171)*IF(J171="",1,J171)*IF(K171="",1,K171)*IF(L171="",1,L171)*IF(M171="",1,M171)-N(N171)</f>
        <v>1</v>
      </c>
      <c r="P171" s="17" t="s">
        <v>321</v>
      </c>
      <c r="Q171" s="36" t="n">
        <v>0</v>
      </c>
      <c r="R171" s="35" t="n">
        <f aca="false">IF(S171="Y",ROUNDUP(O171*(1+Q171),0),O171*(1+Q171))</f>
        <v>1</v>
      </c>
      <c r="S171" s="37" t="s">
        <v>322</v>
      </c>
      <c r="T171" s="38"/>
      <c r="U171" s="17" t="s">
        <v>320</v>
      </c>
      <c r="V171" s="17" t="s">
        <v>380</v>
      </c>
      <c r="W171" s="38" t="s">
        <v>948</v>
      </c>
    </row>
    <row r="172" customFormat="false" ht="15" hidden="false" customHeight="false" outlineLevel="0" collapsed="false">
      <c r="A172" s="25" t="s">
        <v>949</v>
      </c>
      <c r="B172" s="25" t="s">
        <v>88</v>
      </c>
      <c r="C172" s="25" t="s">
        <v>89</v>
      </c>
      <c r="D172" s="32" t="s">
        <v>950</v>
      </c>
      <c r="E172" s="32"/>
      <c r="F172" s="25" t="s">
        <v>115</v>
      </c>
      <c r="G172" s="32" t="s">
        <v>164</v>
      </c>
      <c r="H172" s="25" t="s">
        <v>400</v>
      </c>
      <c r="I172" s="34"/>
      <c r="J172" s="33" t="n">
        <v>60</v>
      </c>
      <c r="K172" s="34"/>
      <c r="L172" s="34"/>
      <c r="M172" s="34"/>
      <c r="N172" s="34"/>
      <c r="O172" s="35" t="n">
        <f aca="false">IF(I172="",1,I172)*IF(J172="",1,J172)*IF(K172="",1,K172)*IF(L172="",1,L172)*IF(M172="",1,M172)-N(N172)</f>
        <v>60</v>
      </c>
      <c r="P172" s="17" t="s">
        <v>401</v>
      </c>
      <c r="Q172" s="36" t="n">
        <v>0</v>
      </c>
      <c r="R172" s="35" t="n">
        <f aca="false">IF(S172="Y",ROUNDUP(O172*(1+Q172),0),O172*(1+Q172))</f>
        <v>60</v>
      </c>
      <c r="S172" s="37" t="s">
        <v>322</v>
      </c>
      <c r="T172" s="38"/>
      <c r="U172" s="17" t="s">
        <v>181</v>
      </c>
      <c r="V172" s="17" t="s">
        <v>380</v>
      </c>
      <c r="W172" s="38"/>
    </row>
    <row r="173" customFormat="false" ht="15" hidden="false" customHeight="false" outlineLevel="0" collapsed="false">
      <c r="A173" s="25" t="s">
        <v>951</v>
      </c>
      <c r="B173" s="25" t="s">
        <v>88</v>
      </c>
      <c r="C173" s="25" t="s">
        <v>89</v>
      </c>
      <c r="D173" s="32" t="s">
        <v>952</v>
      </c>
      <c r="E173" s="32"/>
      <c r="F173" s="25" t="s">
        <v>142</v>
      </c>
      <c r="G173" s="32" t="s">
        <v>947</v>
      </c>
      <c r="H173" s="25" t="s">
        <v>320</v>
      </c>
      <c r="I173" s="33" t="n">
        <v>1</v>
      </c>
      <c r="J173" s="34"/>
      <c r="K173" s="34"/>
      <c r="L173" s="34"/>
      <c r="M173" s="34"/>
      <c r="N173" s="34"/>
      <c r="O173" s="35" t="n">
        <f aca="false">IF(I173="",1,I173)*IF(J173="",1,J173)*IF(K173="",1,K173)*IF(L173="",1,L173)*IF(M173="",1,M173)-N(N173)</f>
        <v>1</v>
      </c>
      <c r="P173" s="17" t="s">
        <v>321</v>
      </c>
      <c r="Q173" s="36" t="n">
        <v>0</v>
      </c>
      <c r="R173" s="35" t="n">
        <f aca="false">IF(S173="Y",ROUNDUP(O173*(1+Q173),0),O173*(1+Q173))</f>
        <v>1</v>
      </c>
      <c r="S173" s="37" t="s">
        <v>322</v>
      </c>
      <c r="T173" s="38"/>
      <c r="U173" s="17" t="s">
        <v>320</v>
      </c>
      <c r="V173" s="17" t="s">
        <v>380</v>
      </c>
      <c r="W173" s="38"/>
    </row>
  </sheetData>
  <conditionalFormatting sqref="A2:W173">
    <cfRule type="expression" priority="2" aboveAverage="0" equalAverage="0" bottom="0" percent="0" rank="0" text="" dxfId="7">
      <formula>$V2="Low"</formula>
    </cfRule>
    <cfRule type="expression" priority="3" aboveAverage="0" equalAverage="0" bottom="0" percent="0" rank="0" text="" dxfId="8">
      <formula>OR($U2="Assumed",$U2="Allowance")</formula>
    </cfRule>
  </conditionalFormatting>
  <dataValidations count="4">
    <dataValidation allowBlank="true" errorStyle="stop" operator="between" showDropDown="false" showErrorMessage="false" showInputMessage="false" sqref="U2:U173" type="list">
      <formula1>"Measured,Calculated,Assumed,Allowance,User-provided,External"</formula1>
      <formula2>0</formula2>
    </dataValidation>
    <dataValidation allowBlank="true" errorStyle="stop" operator="between" showDropDown="false" showErrorMessage="false" showInputMessage="false" sqref="V2:V173" type="list">
      <formula1>"High,Medium,Low"</formula1>
      <formula2>0</formula2>
    </dataValidation>
    <dataValidation allowBlank="true" errorStyle="stop" operator="between" showDropDown="false" showErrorMessage="false" showInputMessage="false" sqref="S2:S173" type="list">
      <formula1>"Y,N"</formula1>
      <formula2>0</formula2>
    </dataValidation>
    <dataValidation allowBlank="true" errorStyle="stop" operator="between" showDropDown="false" showErrorMessage="false" showInputMessage="false" sqref="P2:P173" type="list">
      <formula1>"LS,EA,LF,SF,SY,CY,SQ,SHT,RL,MO,WK,SET"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&amp;CSFH Development - Preliminary Estimate - 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6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50"/>
    <col collapsed="false" customWidth="true" hidden="false" outlineLevel="0" max="10" min="10" style="0" width="26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29" t="s">
        <v>953</v>
      </c>
      <c r="B1" s="29" t="s">
        <v>298</v>
      </c>
      <c r="C1" s="29" t="s">
        <v>299</v>
      </c>
      <c r="D1" s="29" t="s">
        <v>309</v>
      </c>
      <c r="E1" s="29" t="s">
        <v>954</v>
      </c>
      <c r="F1" s="29" t="s">
        <v>955</v>
      </c>
      <c r="G1" s="29" t="s">
        <v>956</v>
      </c>
      <c r="H1" s="29" t="s">
        <v>957</v>
      </c>
      <c r="I1" s="29" t="s">
        <v>958</v>
      </c>
      <c r="J1" s="29" t="s">
        <v>959</v>
      </c>
      <c r="K1" s="29" t="s">
        <v>960</v>
      </c>
      <c r="L1" s="29" t="s">
        <v>139</v>
      </c>
    </row>
    <row r="2" customFormat="false" ht="41.75" hidden="false" customHeight="false" outlineLevel="0" collapsed="false">
      <c r="A2" s="17" t="s">
        <v>317</v>
      </c>
      <c r="B2" s="17" t="s">
        <v>60</v>
      </c>
      <c r="C2" s="30" t="s">
        <v>318</v>
      </c>
      <c r="D2" s="17" t="s">
        <v>321</v>
      </c>
      <c r="E2" s="39" t="n">
        <v>0</v>
      </c>
      <c r="F2" s="39" t="n">
        <v>0</v>
      </c>
      <c r="G2" s="39" t="n">
        <v>2600</v>
      </c>
      <c r="H2" s="19" t="n">
        <f aca="false">E2+F2+G2</f>
        <v>2600</v>
      </c>
      <c r="I2" s="30" t="s">
        <v>961</v>
      </c>
      <c r="J2" s="17" t="s">
        <v>962</v>
      </c>
      <c r="K2" s="17" t="s">
        <v>14</v>
      </c>
      <c r="L2" s="17" t="s">
        <v>963</v>
      </c>
    </row>
    <row r="3" customFormat="false" ht="41.75" hidden="false" customHeight="false" outlineLevel="0" collapsed="false">
      <c r="A3" s="17" t="s">
        <v>325</v>
      </c>
      <c r="B3" s="17" t="s">
        <v>60</v>
      </c>
      <c r="C3" s="30" t="s">
        <v>326</v>
      </c>
      <c r="D3" s="17" t="s">
        <v>321</v>
      </c>
      <c r="E3" s="39" t="n">
        <v>0</v>
      </c>
      <c r="F3" s="39" t="n">
        <v>0</v>
      </c>
      <c r="G3" s="39" t="n">
        <v>1800</v>
      </c>
      <c r="H3" s="19" t="n">
        <f aca="false">E3+F3+G3</f>
        <v>1800</v>
      </c>
      <c r="I3" s="30" t="s">
        <v>961</v>
      </c>
      <c r="J3" s="17" t="s">
        <v>962</v>
      </c>
      <c r="K3" s="17" t="s">
        <v>14</v>
      </c>
      <c r="L3" s="17" t="s">
        <v>963</v>
      </c>
    </row>
    <row r="4" customFormat="false" ht="41.75" hidden="false" customHeight="false" outlineLevel="0" collapsed="false">
      <c r="A4" s="17" t="s">
        <v>329</v>
      </c>
      <c r="B4" s="17" t="s">
        <v>60</v>
      </c>
      <c r="C4" s="30" t="s">
        <v>330</v>
      </c>
      <c r="D4" s="17" t="s">
        <v>321</v>
      </c>
      <c r="E4" s="39" t="n">
        <v>0</v>
      </c>
      <c r="F4" s="39" t="n">
        <v>0</v>
      </c>
      <c r="G4" s="39" t="n">
        <v>1900</v>
      </c>
      <c r="H4" s="19" t="n">
        <f aca="false">E4+F4+G4</f>
        <v>1900</v>
      </c>
      <c r="I4" s="30" t="s">
        <v>961</v>
      </c>
      <c r="J4" s="17" t="s">
        <v>962</v>
      </c>
      <c r="K4" s="17" t="s">
        <v>14</v>
      </c>
      <c r="L4" s="17" t="s">
        <v>963</v>
      </c>
    </row>
    <row r="5" customFormat="false" ht="41.75" hidden="false" customHeight="false" outlineLevel="0" collapsed="false">
      <c r="A5" s="17" t="s">
        <v>332</v>
      </c>
      <c r="B5" s="17" t="s">
        <v>60</v>
      </c>
      <c r="C5" s="30" t="s">
        <v>333</v>
      </c>
      <c r="D5" s="17" t="s">
        <v>321</v>
      </c>
      <c r="E5" s="39" t="n">
        <v>0</v>
      </c>
      <c r="F5" s="39" t="n">
        <v>0</v>
      </c>
      <c r="G5" s="39" t="n">
        <v>1850</v>
      </c>
      <c r="H5" s="19" t="n">
        <f aca="false">E5+F5+G5</f>
        <v>1850</v>
      </c>
      <c r="I5" s="30" t="s">
        <v>961</v>
      </c>
      <c r="J5" s="17" t="s">
        <v>962</v>
      </c>
      <c r="K5" s="17" t="s">
        <v>14</v>
      </c>
      <c r="L5" s="17" t="s">
        <v>963</v>
      </c>
    </row>
    <row r="6" customFormat="false" ht="41.75" hidden="false" customHeight="false" outlineLevel="0" collapsed="false">
      <c r="A6" s="17" t="s">
        <v>334</v>
      </c>
      <c r="B6" s="17" t="s">
        <v>60</v>
      </c>
      <c r="C6" s="30" t="s">
        <v>335</v>
      </c>
      <c r="D6" s="17" t="s">
        <v>321</v>
      </c>
      <c r="E6" s="39" t="n">
        <v>250</v>
      </c>
      <c r="F6" s="39" t="n">
        <v>0</v>
      </c>
      <c r="G6" s="39" t="n">
        <v>900</v>
      </c>
      <c r="H6" s="19" t="n">
        <f aca="false">E6+F6+G6</f>
        <v>1150</v>
      </c>
      <c r="I6" s="30" t="s">
        <v>961</v>
      </c>
      <c r="J6" s="17" t="s">
        <v>962</v>
      </c>
      <c r="K6" s="17" t="s">
        <v>14</v>
      </c>
      <c r="L6" s="17" t="s">
        <v>963</v>
      </c>
    </row>
    <row r="7" customFormat="false" ht="41.75" hidden="false" customHeight="false" outlineLevel="0" collapsed="false">
      <c r="A7" s="17" t="s">
        <v>336</v>
      </c>
      <c r="B7" s="17" t="s">
        <v>60</v>
      </c>
      <c r="C7" s="30" t="s">
        <v>337</v>
      </c>
      <c r="D7" s="17" t="s">
        <v>321</v>
      </c>
      <c r="E7" s="39" t="n">
        <v>0</v>
      </c>
      <c r="F7" s="39" t="n">
        <v>0</v>
      </c>
      <c r="G7" s="39" t="n">
        <v>300</v>
      </c>
      <c r="H7" s="19" t="n">
        <f aca="false">E7+F7+G7</f>
        <v>300</v>
      </c>
      <c r="I7" s="30" t="s">
        <v>961</v>
      </c>
      <c r="J7" s="17" t="s">
        <v>962</v>
      </c>
      <c r="K7" s="17" t="s">
        <v>14</v>
      </c>
      <c r="L7" s="17" t="s">
        <v>963</v>
      </c>
    </row>
    <row r="8" customFormat="false" ht="41.75" hidden="false" customHeight="false" outlineLevel="0" collapsed="false">
      <c r="A8" s="17" t="s">
        <v>338</v>
      </c>
      <c r="B8" s="17" t="s">
        <v>60</v>
      </c>
      <c r="C8" s="30" t="s">
        <v>339</v>
      </c>
      <c r="D8" s="17" t="s">
        <v>340</v>
      </c>
      <c r="E8" s="39" t="n">
        <v>0</v>
      </c>
      <c r="F8" s="39" t="n">
        <v>0</v>
      </c>
      <c r="G8" s="39" t="n">
        <v>165</v>
      </c>
      <c r="H8" s="19" t="n">
        <f aca="false">E8+F8+G8</f>
        <v>165</v>
      </c>
      <c r="I8" s="30" t="s">
        <v>961</v>
      </c>
      <c r="J8" s="17" t="s">
        <v>962</v>
      </c>
      <c r="K8" s="17" t="s">
        <v>14</v>
      </c>
      <c r="L8" s="17" t="s">
        <v>963</v>
      </c>
    </row>
    <row r="9" customFormat="false" ht="41.75" hidden="false" customHeight="false" outlineLevel="0" collapsed="false">
      <c r="A9" s="17" t="s">
        <v>343</v>
      </c>
      <c r="B9" s="17" t="s">
        <v>60</v>
      </c>
      <c r="C9" s="30" t="s">
        <v>344</v>
      </c>
      <c r="D9" s="17" t="s">
        <v>345</v>
      </c>
      <c r="E9" s="39" t="n">
        <v>0</v>
      </c>
      <c r="F9" s="39" t="n">
        <v>0</v>
      </c>
      <c r="G9" s="39" t="n">
        <v>485</v>
      </c>
      <c r="H9" s="19" t="n">
        <f aca="false">E9+F9+G9</f>
        <v>485</v>
      </c>
      <c r="I9" s="30" t="s">
        <v>961</v>
      </c>
      <c r="J9" s="17" t="s">
        <v>962</v>
      </c>
      <c r="K9" s="17" t="s">
        <v>14</v>
      </c>
      <c r="L9" s="17" t="s">
        <v>963</v>
      </c>
    </row>
    <row r="10" customFormat="false" ht="41.75" hidden="false" customHeight="false" outlineLevel="0" collapsed="false">
      <c r="A10" s="17" t="s">
        <v>347</v>
      </c>
      <c r="B10" s="17" t="s">
        <v>60</v>
      </c>
      <c r="C10" s="30" t="s">
        <v>348</v>
      </c>
      <c r="D10" s="17" t="s">
        <v>321</v>
      </c>
      <c r="E10" s="39" t="n">
        <v>0</v>
      </c>
      <c r="F10" s="39" t="n">
        <v>0</v>
      </c>
      <c r="G10" s="39" t="n">
        <v>1250</v>
      </c>
      <c r="H10" s="19" t="n">
        <f aca="false">E10+F10+G10</f>
        <v>1250</v>
      </c>
      <c r="I10" s="30" t="s">
        <v>961</v>
      </c>
      <c r="J10" s="17" t="s">
        <v>962</v>
      </c>
      <c r="K10" s="17" t="s">
        <v>14</v>
      </c>
      <c r="L10" s="17" t="s">
        <v>963</v>
      </c>
    </row>
    <row r="11" customFormat="false" ht="41.75" hidden="false" customHeight="false" outlineLevel="0" collapsed="false">
      <c r="A11" s="17" t="s">
        <v>349</v>
      </c>
      <c r="B11" s="17" t="s">
        <v>60</v>
      </c>
      <c r="C11" s="30" t="s">
        <v>350</v>
      </c>
      <c r="D11" s="17" t="s">
        <v>351</v>
      </c>
      <c r="E11" s="39" t="n">
        <v>0</v>
      </c>
      <c r="F11" s="39" t="n">
        <v>650</v>
      </c>
      <c r="G11" s="39" t="n">
        <v>0</v>
      </c>
      <c r="H11" s="19" t="n">
        <f aca="false">E11+F11+G11</f>
        <v>650</v>
      </c>
      <c r="I11" s="30" t="s">
        <v>961</v>
      </c>
      <c r="J11" s="17" t="s">
        <v>962</v>
      </c>
      <c r="K11" s="17" t="s">
        <v>14</v>
      </c>
      <c r="L11" s="17" t="s">
        <v>963</v>
      </c>
    </row>
    <row r="12" customFormat="false" ht="41.75" hidden="false" customHeight="false" outlineLevel="0" collapsed="false">
      <c r="A12" s="17" t="s">
        <v>353</v>
      </c>
      <c r="B12" s="17" t="s">
        <v>60</v>
      </c>
      <c r="C12" s="30" t="s">
        <v>354</v>
      </c>
      <c r="D12" s="17" t="s">
        <v>357</v>
      </c>
      <c r="E12" s="39" t="n">
        <v>0</v>
      </c>
      <c r="F12" s="39" t="n">
        <v>0</v>
      </c>
      <c r="G12" s="39" t="n">
        <v>0.35</v>
      </c>
      <c r="H12" s="19" t="n">
        <f aca="false">E12+F12+G12</f>
        <v>0.35</v>
      </c>
      <c r="I12" s="30" t="s">
        <v>961</v>
      </c>
      <c r="J12" s="17" t="s">
        <v>962</v>
      </c>
      <c r="K12" s="17" t="s">
        <v>14</v>
      </c>
      <c r="L12" s="17" t="s">
        <v>963</v>
      </c>
    </row>
    <row r="13" customFormat="false" ht="41.75" hidden="false" customHeight="false" outlineLevel="0" collapsed="false">
      <c r="A13" s="17" t="s">
        <v>361</v>
      </c>
      <c r="B13" s="17" t="s">
        <v>60</v>
      </c>
      <c r="C13" s="30" t="s">
        <v>362</v>
      </c>
      <c r="D13" s="17" t="s">
        <v>321</v>
      </c>
      <c r="E13" s="39" t="n">
        <v>0</v>
      </c>
      <c r="F13" s="39" t="n">
        <v>900</v>
      </c>
      <c r="G13" s="39" t="n">
        <v>0</v>
      </c>
      <c r="H13" s="19" t="n">
        <f aca="false">E13+F13+G13</f>
        <v>900</v>
      </c>
      <c r="I13" s="30" t="s">
        <v>961</v>
      </c>
      <c r="J13" s="17" t="s">
        <v>962</v>
      </c>
      <c r="K13" s="17" t="s">
        <v>14</v>
      </c>
      <c r="L13" s="17" t="s">
        <v>963</v>
      </c>
    </row>
    <row r="14" customFormat="false" ht="41.75" hidden="false" customHeight="false" outlineLevel="0" collapsed="false">
      <c r="A14" s="17" t="s">
        <v>363</v>
      </c>
      <c r="B14" s="17" t="s">
        <v>60</v>
      </c>
      <c r="C14" s="30" t="s">
        <v>364</v>
      </c>
      <c r="D14" s="17" t="s">
        <v>357</v>
      </c>
      <c r="E14" s="39" t="n">
        <v>0.38</v>
      </c>
      <c r="F14" s="39" t="n">
        <v>0.08</v>
      </c>
      <c r="G14" s="39" t="n">
        <v>0</v>
      </c>
      <c r="H14" s="19" t="n">
        <f aca="false">E14+F14+G14</f>
        <v>0.46</v>
      </c>
      <c r="I14" s="30" t="s">
        <v>961</v>
      </c>
      <c r="J14" s="17" t="s">
        <v>962</v>
      </c>
      <c r="K14" s="17" t="s">
        <v>14</v>
      </c>
      <c r="L14" s="17" t="s">
        <v>963</v>
      </c>
    </row>
    <row r="15" customFormat="false" ht="41.75" hidden="false" customHeight="false" outlineLevel="0" collapsed="false">
      <c r="A15" s="17" t="s">
        <v>369</v>
      </c>
      <c r="B15" s="17" t="s">
        <v>60</v>
      </c>
      <c r="C15" s="30" t="s">
        <v>370</v>
      </c>
      <c r="D15" s="17" t="s">
        <v>321</v>
      </c>
      <c r="E15" s="39" t="n">
        <v>0</v>
      </c>
      <c r="F15" s="39" t="n">
        <v>0</v>
      </c>
      <c r="G15" s="39" t="n">
        <v>525</v>
      </c>
      <c r="H15" s="19" t="n">
        <f aca="false">E15+F15+G15</f>
        <v>525</v>
      </c>
      <c r="I15" s="30" t="s">
        <v>961</v>
      </c>
      <c r="J15" s="17" t="s">
        <v>962</v>
      </c>
      <c r="K15" s="17" t="s">
        <v>14</v>
      </c>
      <c r="L15" s="17" t="s">
        <v>963</v>
      </c>
    </row>
    <row r="16" customFormat="false" ht="41.75" hidden="false" customHeight="false" outlineLevel="0" collapsed="false">
      <c r="A16" s="17" t="s">
        <v>373</v>
      </c>
      <c r="B16" s="17" t="s">
        <v>60</v>
      </c>
      <c r="C16" s="30" t="s">
        <v>374</v>
      </c>
      <c r="D16" s="17" t="s">
        <v>321</v>
      </c>
      <c r="E16" s="39" t="n">
        <v>600</v>
      </c>
      <c r="F16" s="39" t="n">
        <v>0</v>
      </c>
      <c r="G16" s="39" t="n">
        <v>0</v>
      </c>
      <c r="H16" s="19" t="n">
        <f aca="false">E16+F16+G16</f>
        <v>600</v>
      </c>
      <c r="I16" s="30" t="s">
        <v>961</v>
      </c>
      <c r="J16" s="17" t="s">
        <v>962</v>
      </c>
      <c r="K16" s="17" t="s">
        <v>14</v>
      </c>
      <c r="L16" s="17" t="s">
        <v>963</v>
      </c>
    </row>
    <row r="17" customFormat="false" ht="41.75" hidden="false" customHeight="false" outlineLevel="0" collapsed="false">
      <c r="A17" s="17" t="s">
        <v>375</v>
      </c>
      <c r="B17" s="17" t="s">
        <v>60</v>
      </c>
      <c r="C17" s="30" t="s">
        <v>376</v>
      </c>
      <c r="D17" s="17" t="s">
        <v>321</v>
      </c>
      <c r="E17" s="39" t="n">
        <v>0</v>
      </c>
      <c r="F17" s="39" t="n">
        <v>0</v>
      </c>
      <c r="G17" s="39" t="n">
        <v>450</v>
      </c>
      <c r="H17" s="19" t="n">
        <f aca="false">E17+F17+G17</f>
        <v>450</v>
      </c>
      <c r="I17" s="30" t="s">
        <v>961</v>
      </c>
      <c r="J17" s="17" t="s">
        <v>962</v>
      </c>
      <c r="K17" s="17" t="s">
        <v>14</v>
      </c>
      <c r="L17" s="17" t="s">
        <v>963</v>
      </c>
    </row>
    <row r="18" customFormat="false" ht="41.75" hidden="false" customHeight="false" outlineLevel="0" collapsed="false">
      <c r="A18" s="17" t="s">
        <v>378</v>
      </c>
      <c r="B18" s="17" t="s">
        <v>62</v>
      </c>
      <c r="C18" s="30" t="s">
        <v>379</v>
      </c>
      <c r="D18" s="17" t="s">
        <v>321</v>
      </c>
      <c r="E18" s="39" t="n">
        <v>0</v>
      </c>
      <c r="F18" s="39" t="n">
        <v>0</v>
      </c>
      <c r="G18" s="39" t="n">
        <v>2800</v>
      </c>
      <c r="H18" s="19" t="n">
        <f aca="false">E18+F18+G18</f>
        <v>2800</v>
      </c>
      <c r="I18" s="30" t="s">
        <v>961</v>
      </c>
      <c r="J18" s="17" t="s">
        <v>962</v>
      </c>
      <c r="K18" s="17" t="s">
        <v>14</v>
      </c>
      <c r="L18" s="17" t="s">
        <v>963</v>
      </c>
    </row>
    <row r="19" customFormat="false" ht="41.75" hidden="false" customHeight="false" outlineLevel="0" collapsed="false">
      <c r="A19" s="17" t="s">
        <v>382</v>
      </c>
      <c r="B19" s="17" t="s">
        <v>62</v>
      </c>
      <c r="C19" s="30" t="s">
        <v>383</v>
      </c>
      <c r="D19" s="17" t="s">
        <v>387</v>
      </c>
      <c r="E19" s="39" t="n">
        <v>18</v>
      </c>
      <c r="F19" s="39" t="n">
        <v>0</v>
      </c>
      <c r="G19" s="39" t="n">
        <v>7.5</v>
      </c>
      <c r="H19" s="19" t="n">
        <f aca="false">E19+F19+G19</f>
        <v>25.5</v>
      </c>
      <c r="I19" s="30" t="s">
        <v>961</v>
      </c>
      <c r="J19" s="17" t="s">
        <v>962</v>
      </c>
      <c r="K19" s="17" t="s">
        <v>14</v>
      </c>
      <c r="L19" s="17" t="s">
        <v>963</v>
      </c>
    </row>
    <row r="20" customFormat="false" ht="41.75" hidden="false" customHeight="false" outlineLevel="0" collapsed="false">
      <c r="A20" s="17" t="s">
        <v>391</v>
      </c>
      <c r="B20" s="17" t="s">
        <v>62</v>
      </c>
      <c r="C20" s="30" t="s">
        <v>392</v>
      </c>
      <c r="D20" s="17" t="s">
        <v>357</v>
      </c>
      <c r="E20" s="39" t="n">
        <v>0</v>
      </c>
      <c r="F20" s="39" t="n">
        <v>0</v>
      </c>
      <c r="G20" s="39" t="n">
        <v>0.18</v>
      </c>
      <c r="H20" s="19" t="n">
        <f aca="false">E20+F20+G20</f>
        <v>0.18</v>
      </c>
      <c r="I20" s="30" t="s">
        <v>961</v>
      </c>
      <c r="J20" s="17" t="s">
        <v>962</v>
      </c>
      <c r="K20" s="17" t="s">
        <v>14</v>
      </c>
      <c r="L20" s="17" t="s">
        <v>963</v>
      </c>
    </row>
    <row r="21" customFormat="false" ht="41.75" hidden="false" customHeight="false" outlineLevel="0" collapsed="false">
      <c r="A21" s="17" t="s">
        <v>394</v>
      </c>
      <c r="B21" s="17" t="s">
        <v>62</v>
      </c>
      <c r="C21" s="30" t="s">
        <v>395</v>
      </c>
      <c r="D21" s="17" t="s">
        <v>321</v>
      </c>
      <c r="E21" s="39" t="n">
        <v>0</v>
      </c>
      <c r="F21" s="39" t="n">
        <v>0</v>
      </c>
      <c r="G21" s="39" t="n">
        <v>1800</v>
      </c>
      <c r="H21" s="19" t="n">
        <f aca="false">E21+F21+G21</f>
        <v>1800</v>
      </c>
      <c r="I21" s="30" t="s">
        <v>961</v>
      </c>
      <c r="J21" s="17" t="s">
        <v>962</v>
      </c>
      <c r="K21" s="17" t="s">
        <v>14</v>
      </c>
      <c r="L21" s="17" t="s">
        <v>963</v>
      </c>
    </row>
    <row r="22" customFormat="false" ht="41.75" hidden="false" customHeight="false" outlineLevel="0" collapsed="false">
      <c r="A22" s="17" t="s">
        <v>397</v>
      </c>
      <c r="B22" s="17" t="s">
        <v>62</v>
      </c>
      <c r="C22" s="30" t="s">
        <v>398</v>
      </c>
      <c r="D22" s="17" t="s">
        <v>401</v>
      </c>
      <c r="E22" s="39" t="n">
        <v>0.9</v>
      </c>
      <c r="F22" s="39" t="n">
        <v>1.6</v>
      </c>
      <c r="G22" s="39" t="n">
        <v>0</v>
      </c>
      <c r="H22" s="19" t="n">
        <f aca="false">E22+F22+G22</f>
        <v>2.5</v>
      </c>
      <c r="I22" s="30" t="s">
        <v>961</v>
      </c>
      <c r="J22" s="17" t="s">
        <v>962</v>
      </c>
      <c r="K22" s="17" t="s">
        <v>14</v>
      </c>
      <c r="L22" s="17" t="s">
        <v>963</v>
      </c>
    </row>
    <row r="23" customFormat="false" ht="41.75" hidden="false" customHeight="false" outlineLevel="0" collapsed="false">
      <c r="A23" s="17" t="s">
        <v>403</v>
      </c>
      <c r="B23" s="17" t="s">
        <v>64</v>
      </c>
      <c r="C23" s="30" t="s">
        <v>404</v>
      </c>
      <c r="D23" s="17" t="s">
        <v>387</v>
      </c>
      <c r="E23" s="39" t="n">
        <v>168</v>
      </c>
      <c r="F23" s="39" t="n">
        <v>0</v>
      </c>
      <c r="G23" s="39" t="n">
        <v>0</v>
      </c>
      <c r="H23" s="19" t="n">
        <f aca="false">E23+F23+G23</f>
        <v>168</v>
      </c>
      <c r="I23" s="30" t="s">
        <v>961</v>
      </c>
      <c r="J23" s="17" t="s">
        <v>962</v>
      </c>
      <c r="K23" s="17" t="s">
        <v>14</v>
      </c>
      <c r="L23" s="17" t="s">
        <v>963</v>
      </c>
    </row>
    <row r="24" customFormat="false" ht="41.75" hidden="false" customHeight="false" outlineLevel="0" collapsed="false">
      <c r="A24" s="17" t="s">
        <v>409</v>
      </c>
      <c r="B24" s="17" t="s">
        <v>64</v>
      </c>
      <c r="C24" s="30" t="s">
        <v>410</v>
      </c>
      <c r="D24" s="17" t="s">
        <v>387</v>
      </c>
      <c r="E24" s="39" t="n">
        <v>168</v>
      </c>
      <c r="F24" s="39" t="n">
        <v>0</v>
      </c>
      <c r="G24" s="39" t="n">
        <v>0</v>
      </c>
      <c r="H24" s="19" t="n">
        <f aca="false">E24+F24+G24</f>
        <v>168</v>
      </c>
      <c r="I24" s="30" t="s">
        <v>961</v>
      </c>
      <c r="J24" s="17" t="s">
        <v>962</v>
      </c>
      <c r="K24" s="17" t="s">
        <v>14</v>
      </c>
      <c r="L24" s="17" t="s">
        <v>963</v>
      </c>
    </row>
    <row r="25" customFormat="false" ht="41.75" hidden="false" customHeight="false" outlineLevel="0" collapsed="false">
      <c r="A25" s="17" t="s">
        <v>415</v>
      </c>
      <c r="B25" s="17" t="s">
        <v>64</v>
      </c>
      <c r="C25" s="30" t="s">
        <v>416</v>
      </c>
      <c r="D25" s="17" t="s">
        <v>387</v>
      </c>
      <c r="E25" s="39" t="n">
        <v>168</v>
      </c>
      <c r="F25" s="39" t="n">
        <v>0</v>
      </c>
      <c r="G25" s="39" t="n">
        <v>0</v>
      </c>
      <c r="H25" s="19" t="n">
        <f aca="false">E25+F25+G25</f>
        <v>168</v>
      </c>
      <c r="I25" s="30" t="s">
        <v>961</v>
      </c>
      <c r="J25" s="17" t="s">
        <v>962</v>
      </c>
      <c r="K25" s="17" t="s">
        <v>14</v>
      </c>
      <c r="L25" s="17" t="s">
        <v>963</v>
      </c>
    </row>
    <row r="26" customFormat="false" ht="41.75" hidden="false" customHeight="false" outlineLevel="0" collapsed="false">
      <c r="A26" s="17" t="s">
        <v>420</v>
      </c>
      <c r="B26" s="17" t="s">
        <v>64</v>
      </c>
      <c r="C26" s="30" t="s">
        <v>421</v>
      </c>
      <c r="D26" s="17" t="s">
        <v>357</v>
      </c>
      <c r="E26" s="39" t="n">
        <v>0.11</v>
      </c>
      <c r="F26" s="39" t="n">
        <v>0.06</v>
      </c>
      <c r="G26" s="39" t="n">
        <v>0</v>
      </c>
      <c r="H26" s="19" t="n">
        <f aca="false">E26+F26+G26</f>
        <v>0.17</v>
      </c>
      <c r="I26" s="30" t="s">
        <v>961</v>
      </c>
      <c r="J26" s="17" t="s">
        <v>962</v>
      </c>
      <c r="K26" s="17" t="s">
        <v>14</v>
      </c>
      <c r="L26" s="17" t="s">
        <v>963</v>
      </c>
    </row>
    <row r="27" customFormat="false" ht="41.75" hidden="false" customHeight="false" outlineLevel="0" collapsed="false">
      <c r="A27" s="17" t="s">
        <v>424</v>
      </c>
      <c r="B27" s="17" t="s">
        <v>64</v>
      </c>
      <c r="C27" s="30" t="s">
        <v>425</v>
      </c>
      <c r="D27" s="17" t="s">
        <v>401</v>
      </c>
      <c r="E27" s="39" t="n">
        <v>0.85</v>
      </c>
      <c r="F27" s="39" t="n">
        <v>0.35</v>
      </c>
      <c r="G27" s="39" t="n">
        <v>0</v>
      </c>
      <c r="H27" s="19" t="n">
        <f aca="false">E27+F27+G27</f>
        <v>1.2</v>
      </c>
      <c r="I27" s="30" t="s">
        <v>961</v>
      </c>
      <c r="J27" s="17" t="s">
        <v>962</v>
      </c>
      <c r="K27" s="17" t="s">
        <v>14</v>
      </c>
      <c r="L27" s="17" t="s">
        <v>963</v>
      </c>
    </row>
    <row r="28" customFormat="false" ht="41.75" hidden="false" customHeight="false" outlineLevel="0" collapsed="false">
      <c r="A28" s="17" t="s">
        <v>429</v>
      </c>
      <c r="B28" s="17" t="s">
        <v>64</v>
      </c>
      <c r="C28" s="30" t="s">
        <v>430</v>
      </c>
      <c r="D28" s="17" t="s">
        <v>401</v>
      </c>
      <c r="E28" s="39" t="n">
        <v>0.32</v>
      </c>
      <c r="F28" s="39" t="n">
        <v>0.18</v>
      </c>
      <c r="G28" s="39" t="n">
        <v>0</v>
      </c>
      <c r="H28" s="19" t="n">
        <f aca="false">E28+F28+G28</f>
        <v>0.5</v>
      </c>
      <c r="I28" s="30" t="s">
        <v>961</v>
      </c>
      <c r="J28" s="17" t="s">
        <v>962</v>
      </c>
      <c r="K28" s="17" t="s">
        <v>14</v>
      </c>
      <c r="L28" s="17" t="s">
        <v>963</v>
      </c>
    </row>
    <row r="29" customFormat="false" ht="41.75" hidden="false" customHeight="false" outlineLevel="0" collapsed="false">
      <c r="A29" s="17" t="s">
        <v>432</v>
      </c>
      <c r="B29" s="17" t="s">
        <v>64</v>
      </c>
      <c r="C29" s="30" t="s">
        <v>433</v>
      </c>
      <c r="D29" s="17" t="s">
        <v>357</v>
      </c>
      <c r="E29" s="39" t="n">
        <v>0.22</v>
      </c>
      <c r="F29" s="39" t="n">
        <v>0</v>
      </c>
      <c r="G29" s="39" t="n">
        <v>0</v>
      </c>
      <c r="H29" s="19" t="n">
        <f aca="false">E29+F29+G29</f>
        <v>0.22</v>
      </c>
      <c r="I29" s="30" t="s">
        <v>961</v>
      </c>
      <c r="J29" s="17" t="s">
        <v>962</v>
      </c>
      <c r="K29" s="17" t="s">
        <v>14</v>
      </c>
      <c r="L29" s="17" t="s">
        <v>963</v>
      </c>
    </row>
    <row r="30" customFormat="false" ht="41.75" hidden="false" customHeight="false" outlineLevel="0" collapsed="false">
      <c r="A30" s="17" t="s">
        <v>435</v>
      </c>
      <c r="B30" s="17" t="s">
        <v>64</v>
      </c>
      <c r="C30" s="30" t="s">
        <v>436</v>
      </c>
      <c r="D30" s="17" t="s">
        <v>357</v>
      </c>
      <c r="E30" s="39" t="n">
        <v>0</v>
      </c>
      <c r="F30" s="39" t="n">
        <v>3</v>
      </c>
      <c r="G30" s="39" t="n">
        <v>0</v>
      </c>
      <c r="H30" s="19" t="n">
        <f aca="false">E30+F30+G30</f>
        <v>3</v>
      </c>
      <c r="I30" s="30" t="s">
        <v>961</v>
      </c>
      <c r="J30" s="17" t="s">
        <v>962</v>
      </c>
      <c r="K30" s="17" t="s">
        <v>14</v>
      </c>
      <c r="L30" s="17" t="s">
        <v>963</v>
      </c>
    </row>
    <row r="31" customFormat="false" ht="41.75" hidden="false" customHeight="false" outlineLevel="0" collapsed="false">
      <c r="A31" s="17" t="s">
        <v>437</v>
      </c>
      <c r="B31" s="17" t="s">
        <v>64</v>
      </c>
      <c r="C31" s="30" t="s">
        <v>438</v>
      </c>
      <c r="D31" s="17" t="s">
        <v>321</v>
      </c>
      <c r="E31" s="39" t="n">
        <v>0</v>
      </c>
      <c r="F31" s="39" t="n">
        <v>0</v>
      </c>
      <c r="G31" s="39" t="n">
        <v>1150</v>
      </c>
      <c r="H31" s="19" t="n">
        <f aca="false">E31+F31+G31</f>
        <v>1150</v>
      </c>
      <c r="I31" s="30" t="s">
        <v>961</v>
      </c>
      <c r="J31" s="17" t="s">
        <v>962</v>
      </c>
      <c r="K31" s="17" t="s">
        <v>14</v>
      </c>
      <c r="L31" s="17" t="s">
        <v>963</v>
      </c>
    </row>
    <row r="32" customFormat="false" ht="41.75" hidden="false" customHeight="false" outlineLevel="0" collapsed="false">
      <c r="A32" s="17" t="s">
        <v>440</v>
      </c>
      <c r="B32" s="17" t="s">
        <v>64</v>
      </c>
      <c r="C32" s="30" t="s">
        <v>441</v>
      </c>
      <c r="D32" s="17" t="s">
        <v>357</v>
      </c>
      <c r="E32" s="39" t="n">
        <v>0</v>
      </c>
      <c r="F32" s="39" t="n">
        <v>0</v>
      </c>
      <c r="G32" s="39" t="n">
        <v>2.4</v>
      </c>
      <c r="H32" s="19" t="n">
        <f aca="false">E32+F32+G32</f>
        <v>2.4</v>
      </c>
      <c r="I32" s="30" t="s">
        <v>961</v>
      </c>
      <c r="J32" s="17" t="s">
        <v>962</v>
      </c>
      <c r="K32" s="17" t="s">
        <v>14</v>
      </c>
      <c r="L32" s="17" t="s">
        <v>963</v>
      </c>
    </row>
    <row r="33" customFormat="false" ht="41.75" hidden="false" customHeight="false" outlineLevel="0" collapsed="false">
      <c r="A33" s="17" t="s">
        <v>444</v>
      </c>
      <c r="B33" s="17" t="s">
        <v>64</v>
      </c>
      <c r="C33" s="30" t="s">
        <v>445</v>
      </c>
      <c r="D33" s="17" t="s">
        <v>357</v>
      </c>
      <c r="E33" s="39" t="n">
        <v>0.35</v>
      </c>
      <c r="F33" s="39" t="n">
        <v>0.4</v>
      </c>
      <c r="G33" s="39" t="n">
        <v>0</v>
      </c>
      <c r="H33" s="19" t="n">
        <f aca="false">E33+F33+G33</f>
        <v>0.75</v>
      </c>
      <c r="I33" s="30" t="s">
        <v>961</v>
      </c>
      <c r="J33" s="17" t="s">
        <v>962</v>
      </c>
      <c r="K33" s="17" t="s">
        <v>14</v>
      </c>
      <c r="L33" s="17" t="s">
        <v>963</v>
      </c>
    </row>
    <row r="34" customFormat="false" ht="41.75" hidden="false" customHeight="false" outlineLevel="0" collapsed="false">
      <c r="A34" s="17" t="s">
        <v>449</v>
      </c>
      <c r="B34" s="17" t="s">
        <v>64</v>
      </c>
      <c r="C34" s="30" t="s">
        <v>450</v>
      </c>
      <c r="D34" s="17" t="s">
        <v>345</v>
      </c>
      <c r="E34" s="39" t="n">
        <v>2.75</v>
      </c>
      <c r="F34" s="39" t="n">
        <v>1.5</v>
      </c>
      <c r="G34" s="39" t="n">
        <v>0</v>
      </c>
      <c r="H34" s="19" t="n">
        <f aca="false">E34+F34+G34</f>
        <v>4.25</v>
      </c>
      <c r="I34" s="30" t="s">
        <v>961</v>
      </c>
      <c r="J34" s="17" t="s">
        <v>962</v>
      </c>
      <c r="K34" s="17" t="s">
        <v>14</v>
      </c>
      <c r="L34" s="17" t="s">
        <v>963</v>
      </c>
    </row>
    <row r="35" customFormat="false" ht="41.75" hidden="false" customHeight="false" outlineLevel="0" collapsed="false">
      <c r="A35" s="17" t="s">
        <v>453</v>
      </c>
      <c r="B35" s="17" t="s">
        <v>64</v>
      </c>
      <c r="C35" s="30" t="s">
        <v>454</v>
      </c>
      <c r="D35" s="17" t="s">
        <v>401</v>
      </c>
      <c r="E35" s="39" t="n">
        <v>0</v>
      </c>
      <c r="F35" s="39" t="n">
        <v>0</v>
      </c>
      <c r="G35" s="39" t="n">
        <v>1.75</v>
      </c>
      <c r="H35" s="19" t="n">
        <f aca="false">E35+F35+G35</f>
        <v>1.75</v>
      </c>
      <c r="I35" s="30" t="s">
        <v>961</v>
      </c>
      <c r="J35" s="17" t="s">
        <v>962</v>
      </c>
      <c r="K35" s="17" t="s">
        <v>14</v>
      </c>
      <c r="L35" s="17" t="s">
        <v>963</v>
      </c>
    </row>
    <row r="36" customFormat="false" ht="41.75" hidden="false" customHeight="false" outlineLevel="0" collapsed="false">
      <c r="A36" s="17" t="s">
        <v>456</v>
      </c>
      <c r="B36" s="17" t="s">
        <v>64</v>
      </c>
      <c r="C36" s="30" t="s">
        <v>457</v>
      </c>
      <c r="D36" s="17" t="s">
        <v>345</v>
      </c>
      <c r="E36" s="39" t="n">
        <v>55</v>
      </c>
      <c r="F36" s="39" t="n">
        <v>0</v>
      </c>
      <c r="G36" s="39" t="n">
        <v>240</v>
      </c>
      <c r="H36" s="19" t="n">
        <f aca="false">E36+F36+G36</f>
        <v>295</v>
      </c>
      <c r="I36" s="30" t="s">
        <v>961</v>
      </c>
      <c r="J36" s="17" t="s">
        <v>962</v>
      </c>
      <c r="K36" s="17" t="s">
        <v>14</v>
      </c>
      <c r="L36" s="17" t="s">
        <v>963</v>
      </c>
    </row>
    <row r="37" customFormat="false" ht="41.75" hidden="false" customHeight="false" outlineLevel="0" collapsed="false">
      <c r="A37" s="17" t="s">
        <v>462</v>
      </c>
      <c r="B37" s="17" t="s">
        <v>66</v>
      </c>
      <c r="C37" s="30" t="s">
        <v>463</v>
      </c>
      <c r="D37" s="17" t="s">
        <v>401</v>
      </c>
      <c r="E37" s="39" t="n">
        <v>1.15</v>
      </c>
      <c r="F37" s="39" t="n">
        <v>0</v>
      </c>
      <c r="G37" s="39" t="n">
        <v>0</v>
      </c>
      <c r="H37" s="19" t="n">
        <f aca="false">E37+F37+G37</f>
        <v>1.15</v>
      </c>
      <c r="I37" s="30" t="s">
        <v>961</v>
      </c>
      <c r="J37" s="17" t="s">
        <v>962</v>
      </c>
      <c r="K37" s="17" t="s">
        <v>14</v>
      </c>
      <c r="L37" s="17" t="s">
        <v>963</v>
      </c>
    </row>
    <row r="38" customFormat="false" ht="41.75" hidden="false" customHeight="false" outlineLevel="0" collapsed="false">
      <c r="A38" s="17" t="s">
        <v>465</v>
      </c>
      <c r="B38" s="17" t="s">
        <v>66</v>
      </c>
      <c r="C38" s="30" t="s">
        <v>466</v>
      </c>
      <c r="D38" s="17" t="s">
        <v>401</v>
      </c>
      <c r="E38" s="39" t="n">
        <v>0.95</v>
      </c>
      <c r="F38" s="39" t="n">
        <v>0</v>
      </c>
      <c r="G38" s="39" t="n">
        <v>0</v>
      </c>
      <c r="H38" s="19" t="n">
        <f aca="false">E38+F38+G38</f>
        <v>0.95</v>
      </c>
      <c r="I38" s="30" t="s">
        <v>961</v>
      </c>
      <c r="J38" s="17" t="s">
        <v>962</v>
      </c>
      <c r="K38" s="17" t="s">
        <v>14</v>
      </c>
      <c r="L38" s="17" t="s">
        <v>963</v>
      </c>
    </row>
    <row r="39" customFormat="false" ht="41.75" hidden="false" customHeight="false" outlineLevel="0" collapsed="false">
      <c r="A39" s="17" t="s">
        <v>468</v>
      </c>
      <c r="B39" s="17" t="s">
        <v>66</v>
      </c>
      <c r="C39" s="30" t="s">
        <v>469</v>
      </c>
      <c r="D39" s="17" t="s">
        <v>345</v>
      </c>
      <c r="E39" s="39" t="n">
        <v>9.25</v>
      </c>
      <c r="F39" s="39" t="n">
        <v>0</v>
      </c>
      <c r="G39" s="39" t="n">
        <v>0</v>
      </c>
      <c r="H39" s="19" t="n">
        <f aca="false">E39+F39+G39</f>
        <v>9.25</v>
      </c>
      <c r="I39" s="30" t="s">
        <v>961</v>
      </c>
      <c r="J39" s="17" t="s">
        <v>962</v>
      </c>
      <c r="K39" s="17" t="s">
        <v>14</v>
      </c>
      <c r="L39" s="17" t="s">
        <v>963</v>
      </c>
    </row>
    <row r="40" customFormat="false" ht="41.75" hidden="false" customHeight="false" outlineLevel="0" collapsed="false">
      <c r="A40" s="17" t="s">
        <v>472</v>
      </c>
      <c r="B40" s="17" t="s">
        <v>66</v>
      </c>
      <c r="C40" s="30" t="s">
        <v>473</v>
      </c>
      <c r="D40" s="17" t="s">
        <v>401</v>
      </c>
      <c r="E40" s="39" t="n">
        <v>1.75</v>
      </c>
      <c r="F40" s="39" t="n">
        <v>0</v>
      </c>
      <c r="G40" s="39" t="n">
        <v>0</v>
      </c>
      <c r="H40" s="19" t="n">
        <f aca="false">E40+F40+G40</f>
        <v>1.75</v>
      </c>
      <c r="I40" s="30" t="s">
        <v>961</v>
      </c>
      <c r="J40" s="17" t="s">
        <v>962</v>
      </c>
      <c r="K40" s="17" t="s">
        <v>14</v>
      </c>
      <c r="L40" s="17" t="s">
        <v>963</v>
      </c>
    </row>
    <row r="41" customFormat="false" ht="41.75" hidden="false" customHeight="false" outlineLevel="0" collapsed="false">
      <c r="A41" s="17" t="s">
        <v>477</v>
      </c>
      <c r="B41" s="17" t="s">
        <v>66</v>
      </c>
      <c r="C41" s="30" t="s">
        <v>478</v>
      </c>
      <c r="D41" s="17" t="s">
        <v>401</v>
      </c>
      <c r="E41" s="39" t="n">
        <v>0.8</v>
      </c>
      <c r="F41" s="39" t="n">
        <v>0</v>
      </c>
      <c r="G41" s="39" t="n">
        <v>0</v>
      </c>
      <c r="H41" s="19" t="n">
        <f aca="false">E41+F41+G41</f>
        <v>0.8</v>
      </c>
      <c r="I41" s="30" t="s">
        <v>961</v>
      </c>
      <c r="J41" s="17" t="s">
        <v>962</v>
      </c>
      <c r="K41" s="17" t="s">
        <v>14</v>
      </c>
      <c r="L41" s="17" t="s">
        <v>963</v>
      </c>
    </row>
    <row r="42" customFormat="false" ht="41.75" hidden="false" customHeight="false" outlineLevel="0" collapsed="false">
      <c r="A42" s="17" t="s">
        <v>481</v>
      </c>
      <c r="B42" s="17" t="s">
        <v>66</v>
      </c>
      <c r="C42" s="30" t="s">
        <v>482</v>
      </c>
      <c r="D42" s="17" t="s">
        <v>401</v>
      </c>
      <c r="E42" s="39" t="n">
        <v>0.62</v>
      </c>
      <c r="F42" s="39" t="n">
        <v>0</v>
      </c>
      <c r="G42" s="39" t="n">
        <v>0</v>
      </c>
      <c r="H42" s="19" t="n">
        <f aca="false">E42+F42+G42</f>
        <v>0.62</v>
      </c>
      <c r="I42" s="30" t="s">
        <v>961</v>
      </c>
      <c r="J42" s="17" t="s">
        <v>962</v>
      </c>
      <c r="K42" s="17" t="s">
        <v>14</v>
      </c>
      <c r="L42" s="17" t="s">
        <v>963</v>
      </c>
    </row>
    <row r="43" customFormat="false" ht="41.75" hidden="false" customHeight="false" outlineLevel="0" collapsed="false">
      <c r="A43" s="17" t="s">
        <v>484</v>
      </c>
      <c r="B43" s="17" t="s">
        <v>66</v>
      </c>
      <c r="C43" s="30" t="s">
        <v>485</v>
      </c>
      <c r="D43" s="17" t="s">
        <v>345</v>
      </c>
      <c r="E43" s="39" t="n">
        <v>5.75</v>
      </c>
      <c r="F43" s="39" t="n">
        <v>0</v>
      </c>
      <c r="G43" s="39" t="n">
        <v>0</v>
      </c>
      <c r="H43" s="19" t="n">
        <f aca="false">E43+F43+G43</f>
        <v>5.75</v>
      </c>
      <c r="I43" s="30" t="s">
        <v>961</v>
      </c>
      <c r="J43" s="17" t="s">
        <v>962</v>
      </c>
      <c r="K43" s="17" t="s">
        <v>14</v>
      </c>
      <c r="L43" s="17" t="s">
        <v>963</v>
      </c>
    </row>
    <row r="44" customFormat="false" ht="41.75" hidden="false" customHeight="false" outlineLevel="0" collapsed="false">
      <c r="A44" s="17" t="s">
        <v>488</v>
      </c>
      <c r="B44" s="17" t="s">
        <v>66</v>
      </c>
      <c r="C44" s="30" t="s">
        <v>489</v>
      </c>
      <c r="D44" s="17" t="s">
        <v>401</v>
      </c>
      <c r="E44" s="39" t="n">
        <v>0.95</v>
      </c>
      <c r="F44" s="39" t="n">
        <v>0</v>
      </c>
      <c r="G44" s="39" t="n">
        <v>0</v>
      </c>
      <c r="H44" s="19" t="n">
        <f aca="false">E44+F44+G44</f>
        <v>0.95</v>
      </c>
      <c r="I44" s="30" t="s">
        <v>961</v>
      </c>
      <c r="J44" s="17" t="s">
        <v>962</v>
      </c>
      <c r="K44" s="17" t="s">
        <v>14</v>
      </c>
      <c r="L44" s="17" t="s">
        <v>963</v>
      </c>
    </row>
    <row r="45" customFormat="false" ht="41.75" hidden="false" customHeight="false" outlineLevel="0" collapsed="false">
      <c r="A45" s="17" t="s">
        <v>492</v>
      </c>
      <c r="B45" s="17" t="s">
        <v>66</v>
      </c>
      <c r="C45" s="30" t="s">
        <v>493</v>
      </c>
      <c r="D45" s="17" t="s">
        <v>401</v>
      </c>
      <c r="E45" s="39" t="n">
        <v>0.95</v>
      </c>
      <c r="F45" s="39" t="n">
        <v>0</v>
      </c>
      <c r="G45" s="39" t="n">
        <v>0</v>
      </c>
      <c r="H45" s="19" t="n">
        <f aca="false">E45+F45+G45</f>
        <v>0.95</v>
      </c>
      <c r="I45" s="30" t="s">
        <v>961</v>
      </c>
      <c r="J45" s="17" t="s">
        <v>962</v>
      </c>
      <c r="K45" s="17" t="s">
        <v>14</v>
      </c>
      <c r="L45" s="17" t="s">
        <v>963</v>
      </c>
    </row>
    <row r="46" customFormat="false" ht="41.75" hidden="false" customHeight="false" outlineLevel="0" collapsed="false">
      <c r="A46" s="17" t="s">
        <v>495</v>
      </c>
      <c r="B46" s="17" t="s">
        <v>66</v>
      </c>
      <c r="C46" s="30" t="s">
        <v>496</v>
      </c>
      <c r="D46" s="17" t="s">
        <v>345</v>
      </c>
      <c r="E46" s="39" t="n">
        <v>205</v>
      </c>
      <c r="F46" s="39" t="n">
        <v>0</v>
      </c>
      <c r="G46" s="39" t="n">
        <v>0</v>
      </c>
      <c r="H46" s="19" t="n">
        <f aca="false">E46+F46+G46</f>
        <v>205</v>
      </c>
      <c r="I46" s="30" t="s">
        <v>961</v>
      </c>
      <c r="J46" s="17" t="s">
        <v>962</v>
      </c>
      <c r="K46" s="17" t="s">
        <v>14</v>
      </c>
      <c r="L46" s="17" t="s">
        <v>963</v>
      </c>
    </row>
    <row r="47" customFormat="false" ht="41.75" hidden="false" customHeight="false" outlineLevel="0" collapsed="false">
      <c r="A47" s="17" t="s">
        <v>502</v>
      </c>
      <c r="B47" s="17" t="s">
        <v>66</v>
      </c>
      <c r="C47" s="30" t="s">
        <v>503</v>
      </c>
      <c r="D47" s="17" t="s">
        <v>345</v>
      </c>
      <c r="E47" s="39" t="n">
        <v>275</v>
      </c>
      <c r="F47" s="39" t="n">
        <v>0</v>
      </c>
      <c r="G47" s="39" t="n">
        <v>0</v>
      </c>
      <c r="H47" s="19" t="n">
        <f aca="false">E47+F47+G47</f>
        <v>275</v>
      </c>
      <c r="I47" s="30" t="s">
        <v>961</v>
      </c>
      <c r="J47" s="17" t="s">
        <v>962</v>
      </c>
      <c r="K47" s="17" t="s">
        <v>14</v>
      </c>
      <c r="L47" s="17" t="s">
        <v>963</v>
      </c>
    </row>
    <row r="48" customFormat="false" ht="41.75" hidden="false" customHeight="false" outlineLevel="0" collapsed="false">
      <c r="A48" s="17" t="s">
        <v>508</v>
      </c>
      <c r="B48" s="17" t="s">
        <v>66</v>
      </c>
      <c r="C48" s="30" t="s">
        <v>509</v>
      </c>
      <c r="D48" s="17" t="s">
        <v>345</v>
      </c>
      <c r="E48" s="39" t="n">
        <v>300</v>
      </c>
      <c r="F48" s="39" t="n">
        <v>0</v>
      </c>
      <c r="G48" s="39" t="n">
        <v>0</v>
      </c>
      <c r="H48" s="19" t="n">
        <f aca="false">E48+F48+G48</f>
        <v>300</v>
      </c>
      <c r="I48" s="30" t="s">
        <v>961</v>
      </c>
      <c r="J48" s="17" t="s">
        <v>962</v>
      </c>
      <c r="K48" s="17" t="s">
        <v>14</v>
      </c>
      <c r="L48" s="17" t="s">
        <v>963</v>
      </c>
    </row>
    <row r="49" customFormat="false" ht="41.75" hidden="false" customHeight="false" outlineLevel="0" collapsed="false">
      <c r="A49" s="17" t="s">
        <v>512</v>
      </c>
      <c r="B49" s="17" t="s">
        <v>66</v>
      </c>
      <c r="C49" s="30" t="s">
        <v>513</v>
      </c>
      <c r="D49" s="17" t="s">
        <v>401</v>
      </c>
      <c r="E49" s="39" t="n">
        <v>0.62</v>
      </c>
      <c r="F49" s="39" t="n">
        <v>0</v>
      </c>
      <c r="G49" s="39" t="n">
        <v>0</v>
      </c>
      <c r="H49" s="19" t="n">
        <f aca="false">E49+F49+G49</f>
        <v>0.62</v>
      </c>
      <c r="I49" s="30" t="s">
        <v>961</v>
      </c>
      <c r="J49" s="17" t="s">
        <v>962</v>
      </c>
      <c r="K49" s="17" t="s">
        <v>14</v>
      </c>
      <c r="L49" s="17" t="s">
        <v>963</v>
      </c>
    </row>
    <row r="50" customFormat="false" ht="41.75" hidden="false" customHeight="false" outlineLevel="0" collapsed="false">
      <c r="A50" s="17" t="s">
        <v>518</v>
      </c>
      <c r="B50" s="17" t="s">
        <v>66</v>
      </c>
      <c r="C50" s="30" t="s">
        <v>519</v>
      </c>
      <c r="D50" s="17" t="s">
        <v>401</v>
      </c>
      <c r="E50" s="39" t="n">
        <v>0.62</v>
      </c>
      <c r="F50" s="39" t="n">
        <v>0</v>
      </c>
      <c r="G50" s="39" t="n">
        <v>0</v>
      </c>
      <c r="H50" s="19" t="n">
        <f aca="false">E50+F50+G50</f>
        <v>0.62</v>
      </c>
      <c r="I50" s="30" t="s">
        <v>961</v>
      </c>
      <c r="J50" s="17" t="s">
        <v>962</v>
      </c>
      <c r="K50" s="17" t="s">
        <v>14</v>
      </c>
      <c r="L50" s="17" t="s">
        <v>963</v>
      </c>
    </row>
    <row r="51" customFormat="false" ht="41.75" hidden="false" customHeight="false" outlineLevel="0" collapsed="false">
      <c r="A51" s="17" t="s">
        <v>523</v>
      </c>
      <c r="B51" s="17" t="s">
        <v>66</v>
      </c>
      <c r="C51" s="30" t="s">
        <v>524</v>
      </c>
      <c r="D51" s="17" t="s">
        <v>401</v>
      </c>
      <c r="E51" s="39" t="n">
        <v>0.62</v>
      </c>
      <c r="F51" s="39" t="n">
        <v>0</v>
      </c>
      <c r="G51" s="39" t="n">
        <v>0</v>
      </c>
      <c r="H51" s="19" t="n">
        <f aca="false">E51+F51+G51</f>
        <v>0.62</v>
      </c>
      <c r="I51" s="30" t="s">
        <v>961</v>
      </c>
      <c r="J51" s="17" t="s">
        <v>962</v>
      </c>
      <c r="K51" s="17" t="s">
        <v>14</v>
      </c>
      <c r="L51" s="17" t="s">
        <v>963</v>
      </c>
    </row>
    <row r="52" customFormat="false" ht="41.75" hidden="false" customHeight="false" outlineLevel="0" collapsed="false">
      <c r="A52" s="17" t="s">
        <v>528</v>
      </c>
      <c r="B52" s="17" t="s">
        <v>66</v>
      </c>
      <c r="C52" s="30" t="s">
        <v>529</v>
      </c>
      <c r="D52" s="17" t="s">
        <v>401</v>
      </c>
      <c r="E52" s="39" t="n">
        <v>0.62</v>
      </c>
      <c r="F52" s="39" t="n">
        <v>0</v>
      </c>
      <c r="G52" s="39" t="n">
        <v>0</v>
      </c>
      <c r="H52" s="19" t="n">
        <f aca="false">E52+F52+G52</f>
        <v>0.62</v>
      </c>
      <c r="I52" s="30" t="s">
        <v>961</v>
      </c>
      <c r="J52" s="17" t="s">
        <v>962</v>
      </c>
      <c r="K52" s="17" t="s">
        <v>14</v>
      </c>
      <c r="L52" s="17" t="s">
        <v>963</v>
      </c>
    </row>
    <row r="53" customFormat="false" ht="41.75" hidden="false" customHeight="false" outlineLevel="0" collapsed="false">
      <c r="A53" s="17" t="s">
        <v>531</v>
      </c>
      <c r="B53" s="17" t="s">
        <v>66</v>
      </c>
      <c r="C53" s="30" t="s">
        <v>532</v>
      </c>
      <c r="D53" s="17" t="s">
        <v>401</v>
      </c>
      <c r="E53" s="39" t="n">
        <v>0.62</v>
      </c>
      <c r="F53" s="39" t="n">
        <v>0</v>
      </c>
      <c r="G53" s="39" t="n">
        <v>0</v>
      </c>
      <c r="H53" s="19" t="n">
        <f aca="false">E53+F53+G53</f>
        <v>0.62</v>
      </c>
      <c r="I53" s="30" t="s">
        <v>961</v>
      </c>
      <c r="J53" s="17" t="s">
        <v>962</v>
      </c>
      <c r="K53" s="17" t="s">
        <v>14</v>
      </c>
      <c r="L53" s="17" t="s">
        <v>963</v>
      </c>
    </row>
    <row r="54" customFormat="false" ht="41.75" hidden="false" customHeight="false" outlineLevel="0" collapsed="false">
      <c r="A54" s="17" t="s">
        <v>533</v>
      </c>
      <c r="B54" s="17" t="s">
        <v>66</v>
      </c>
      <c r="C54" s="30" t="s">
        <v>534</v>
      </c>
      <c r="D54" s="17" t="s">
        <v>401</v>
      </c>
      <c r="E54" s="39" t="n">
        <v>0.95</v>
      </c>
      <c r="F54" s="39" t="n">
        <v>0</v>
      </c>
      <c r="G54" s="39" t="n">
        <v>0</v>
      </c>
      <c r="H54" s="19" t="n">
        <f aca="false">E54+F54+G54</f>
        <v>0.95</v>
      </c>
      <c r="I54" s="30" t="s">
        <v>961</v>
      </c>
      <c r="J54" s="17" t="s">
        <v>962</v>
      </c>
      <c r="K54" s="17" t="s">
        <v>14</v>
      </c>
      <c r="L54" s="17" t="s">
        <v>963</v>
      </c>
    </row>
    <row r="55" customFormat="false" ht="41.75" hidden="false" customHeight="false" outlineLevel="0" collapsed="false">
      <c r="A55" s="17" t="s">
        <v>537</v>
      </c>
      <c r="B55" s="17" t="s">
        <v>66</v>
      </c>
      <c r="C55" s="30" t="s">
        <v>538</v>
      </c>
      <c r="D55" s="17" t="s">
        <v>401</v>
      </c>
      <c r="E55" s="39" t="n">
        <v>0.62</v>
      </c>
      <c r="F55" s="39" t="n">
        <v>0</v>
      </c>
      <c r="G55" s="39" t="n">
        <v>0</v>
      </c>
      <c r="H55" s="19" t="n">
        <f aca="false">E55+F55+G55</f>
        <v>0.62</v>
      </c>
      <c r="I55" s="30" t="s">
        <v>961</v>
      </c>
      <c r="J55" s="17" t="s">
        <v>962</v>
      </c>
      <c r="K55" s="17" t="s">
        <v>14</v>
      </c>
      <c r="L55" s="17" t="s">
        <v>963</v>
      </c>
    </row>
    <row r="56" customFormat="false" ht="41.75" hidden="false" customHeight="false" outlineLevel="0" collapsed="false">
      <c r="A56" s="17" t="s">
        <v>539</v>
      </c>
      <c r="B56" s="17" t="s">
        <v>66</v>
      </c>
      <c r="C56" s="30" t="s">
        <v>540</v>
      </c>
      <c r="D56" s="17" t="s">
        <v>401</v>
      </c>
      <c r="E56" s="39" t="n">
        <v>34</v>
      </c>
      <c r="F56" s="39" t="n">
        <v>0</v>
      </c>
      <c r="G56" s="39" t="n">
        <v>0</v>
      </c>
      <c r="H56" s="19" t="n">
        <f aca="false">E56+F56+G56</f>
        <v>34</v>
      </c>
      <c r="I56" s="30" t="s">
        <v>961</v>
      </c>
      <c r="J56" s="17" t="s">
        <v>962</v>
      </c>
      <c r="K56" s="17" t="s">
        <v>14</v>
      </c>
      <c r="L56" s="17" t="s">
        <v>963</v>
      </c>
    </row>
    <row r="57" customFormat="false" ht="41.75" hidden="false" customHeight="false" outlineLevel="0" collapsed="false">
      <c r="A57" s="17" t="s">
        <v>545</v>
      </c>
      <c r="B57" s="17" t="s">
        <v>66</v>
      </c>
      <c r="C57" s="30" t="s">
        <v>546</v>
      </c>
      <c r="D57" s="17" t="s">
        <v>345</v>
      </c>
      <c r="E57" s="39" t="n">
        <v>150</v>
      </c>
      <c r="F57" s="39" t="n">
        <v>0</v>
      </c>
      <c r="G57" s="39" t="n">
        <v>0</v>
      </c>
      <c r="H57" s="19" t="n">
        <f aca="false">E57+F57+G57</f>
        <v>150</v>
      </c>
      <c r="I57" s="30" t="s">
        <v>961</v>
      </c>
      <c r="J57" s="17" t="s">
        <v>962</v>
      </c>
      <c r="K57" s="17" t="s">
        <v>14</v>
      </c>
      <c r="L57" s="17" t="s">
        <v>963</v>
      </c>
    </row>
    <row r="58" customFormat="false" ht="41.75" hidden="false" customHeight="false" outlineLevel="0" collapsed="false">
      <c r="A58" s="17" t="s">
        <v>548</v>
      </c>
      <c r="B58" s="17" t="s">
        <v>66</v>
      </c>
      <c r="C58" s="30" t="s">
        <v>549</v>
      </c>
      <c r="D58" s="17" t="s">
        <v>552</v>
      </c>
      <c r="E58" s="39" t="n">
        <v>45</v>
      </c>
      <c r="F58" s="39" t="n">
        <v>0</v>
      </c>
      <c r="G58" s="39" t="n">
        <v>0</v>
      </c>
      <c r="H58" s="19" t="n">
        <f aca="false">E58+F58+G58</f>
        <v>45</v>
      </c>
      <c r="I58" s="30" t="s">
        <v>961</v>
      </c>
      <c r="J58" s="17" t="s">
        <v>962</v>
      </c>
      <c r="K58" s="17" t="s">
        <v>14</v>
      </c>
      <c r="L58" s="17" t="s">
        <v>963</v>
      </c>
    </row>
    <row r="59" customFormat="false" ht="41.75" hidden="false" customHeight="false" outlineLevel="0" collapsed="false">
      <c r="A59" s="17" t="s">
        <v>554</v>
      </c>
      <c r="B59" s="17" t="s">
        <v>66</v>
      </c>
      <c r="C59" s="30" t="s">
        <v>555</v>
      </c>
      <c r="D59" s="17" t="s">
        <v>552</v>
      </c>
      <c r="E59" s="39" t="n">
        <v>52</v>
      </c>
      <c r="F59" s="39" t="n">
        <v>0</v>
      </c>
      <c r="G59" s="39" t="n">
        <v>0</v>
      </c>
      <c r="H59" s="19" t="n">
        <f aca="false">E59+F59+G59</f>
        <v>52</v>
      </c>
      <c r="I59" s="30" t="s">
        <v>961</v>
      </c>
      <c r="J59" s="17" t="s">
        <v>962</v>
      </c>
      <c r="K59" s="17" t="s">
        <v>14</v>
      </c>
      <c r="L59" s="17" t="s">
        <v>963</v>
      </c>
    </row>
    <row r="60" customFormat="false" ht="41.75" hidden="false" customHeight="false" outlineLevel="0" collapsed="false">
      <c r="A60" s="17" t="s">
        <v>558</v>
      </c>
      <c r="B60" s="17" t="s">
        <v>66</v>
      </c>
      <c r="C60" s="30" t="s">
        <v>559</v>
      </c>
      <c r="D60" s="17" t="s">
        <v>562</v>
      </c>
      <c r="E60" s="39" t="n">
        <v>36</v>
      </c>
      <c r="F60" s="39" t="n">
        <v>0</v>
      </c>
      <c r="G60" s="39" t="n">
        <v>0</v>
      </c>
      <c r="H60" s="19" t="n">
        <f aca="false">E60+F60+G60</f>
        <v>36</v>
      </c>
      <c r="I60" s="30" t="s">
        <v>961</v>
      </c>
      <c r="J60" s="17" t="s">
        <v>962</v>
      </c>
      <c r="K60" s="17" t="s">
        <v>14</v>
      </c>
      <c r="L60" s="17" t="s">
        <v>963</v>
      </c>
    </row>
    <row r="61" customFormat="false" ht="41.75" hidden="false" customHeight="false" outlineLevel="0" collapsed="false">
      <c r="A61" s="17" t="s">
        <v>564</v>
      </c>
      <c r="B61" s="17" t="s">
        <v>66</v>
      </c>
      <c r="C61" s="30" t="s">
        <v>565</v>
      </c>
      <c r="D61" s="17" t="s">
        <v>321</v>
      </c>
      <c r="E61" s="39" t="n">
        <v>350</v>
      </c>
      <c r="F61" s="39" t="n">
        <v>0</v>
      </c>
      <c r="G61" s="39" t="n">
        <v>0</v>
      </c>
      <c r="H61" s="19" t="n">
        <f aca="false">E61+F61+G61</f>
        <v>350</v>
      </c>
      <c r="I61" s="30" t="s">
        <v>961</v>
      </c>
      <c r="J61" s="17" t="s">
        <v>962</v>
      </c>
      <c r="K61" s="17" t="s">
        <v>14</v>
      </c>
      <c r="L61" s="17" t="s">
        <v>963</v>
      </c>
    </row>
    <row r="62" customFormat="false" ht="41.75" hidden="false" customHeight="false" outlineLevel="0" collapsed="false">
      <c r="A62" s="17" t="s">
        <v>566</v>
      </c>
      <c r="B62" s="17" t="s">
        <v>66</v>
      </c>
      <c r="C62" s="30" t="s">
        <v>567</v>
      </c>
      <c r="D62" s="17" t="s">
        <v>321</v>
      </c>
      <c r="E62" s="39" t="n">
        <v>1150</v>
      </c>
      <c r="F62" s="39" t="n">
        <v>0</v>
      </c>
      <c r="G62" s="39" t="n">
        <v>0</v>
      </c>
      <c r="H62" s="19" t="n">
        <f aca="false">E62+F62+G62</f>
        <v>1150</v>
      </c>
      <c r="I62" s="30" t="s">
        <v>961</v>
      </c>
      <c r="J62" s="17" t="s">
        <v>962</v>
      </c>
      <c r="K62" s="17" t="s">
        <v>14</v>
      </c>
      <c r="L62" s="17" t="s">
        <v>963</v>
      </c>
    </row>
    <row r="63" customFormat="false" ht="41.75" hidden="false" customHeight="false" outlineLevel="0" collapsed="false">
      <c r="A63" s="17" t="s">
        <v>569</v>
      </c>
      <c r="B63" s="17" t="s">
        <v>66</v>
      </c>
      <c r="C63" s="30" t="s">
        <v>570</v>
      </c>
      <c r="D63" s="17" t="s">
        <v>357</v>
      </c>
      <c r="E63" s="39" t="n">
        <v>0.45</v>
      </c>
      <c r="F63" s="39" t="n">
        <v>0</v>
      </c>
      <c r="G63" s="39" t="n">
        <v>0</v>
      </c>
      <c r="H63" s="19" t="n">
        <f aca="false">E63+F63+G63</f>
        <v>0.45</v>
      </c>
      <c r="I63" s="30" t="s">
        <v>961</v>
      </c>
      <c r="J63" s="17" t="s">
        <v>962</v>
      </c>
      <c r="K63" s="17" t="s">
        <v>14</v>
      </c>
      <c r="L63" s="17" t="s">
        <v>963</v>
      </c>
    </row>
    <row r="64" customFormat="false" ht="41.75" hidden="false" customHeight="false" outlineLevel="0" collapsed="false">
      <c r="A64" s="17" t="s">
        <v>572</v>
      </c>
      <c r="B64" s="17" t="s">
        <v>66</v>
      </c>
      <c r="C64" s="30" t="s">
        <v>573</v>
      </c>
      <c r="D64" s="17" t="s">
        <v>357</v>
      </c>
      <c r="E64" s="39" t="n">
        <v>0</v>
      </c>
      <c r="F64" s="39" t="n">
        <v>7.25</v>
      </c>
      <c r="G64" s="39" t="n">
        <v>0</v>
      </c>
      <c r="H64" s="19" t="n">
        <f aca="false">E64+F64+G64</f>
        <v>7.25</v>
      </c>
      <c r="I64" s="30" t="s">
        <v>961</v>
      </c>
      <c r="J64" s="17" t="s">
        <v>962</v>
      </c>
      <c r="K64" s="17" t="s">
        <v>14</v>
      </c>
      <c r="L64" s="17" t="s">
        <v>963</v>
      </c>
    </row>
    <row r="65" customFormat="false" ht="41.75" hidden="false" customHeight="false" outlineLevel="0" collapsed="false">
      <c r="A65" s="17" t="s">
        <v>574</v>
      </c>
      <c r="B65" s="17" t="s">
        <v>66</v>
      </c>
      <c r="C65" s="30" t="s">
        <v>575</v>
      </c>
      <c r="D65" s="17" t="s">
        <v>357</v>
      </c>
      <c r="E65" s="39" t="n">
        <v>0</v>
      </c>
      <c r="F65" s="39" t="n">
        <v>3.75</v>
      </c>
      <c r="G65" s="39" t="n">
        <v>0</v>
      </c>
      <c r="H65" s="19" t="n">
        <f aca="false">E65+F65+G65</f>
        <v>3.75</v>
      </c>
      <c r="I65" s="30" t="s">
        <v>961</v>
      </c>
      <c r="J65" s="17" t="s">
        <v>962</v>
      </c>
      <c r="K65" s="17" t="s">
        <v>14</v>
      </c>
      <c r="L65" s="17" t="s">
        <v>963</v>
      </c>
    </row>
    <row r="66" customFormat="false" ht="41.75" hidden="false" customHeight="false" outlineLevel="0" collapsed="false">
      <c r="A66" s="17" t="s">
        <v>578</v>
      </c>
      <c r="B66" s="17" t="s">
        <v>66</v>
      </c>
      <c r="C66" s="30" t="s">
        <v>579</v>
      </c>
      <c r="D66" s="17" t="s">
        <v>321</v>
      </c>
      <c r="E66" s="39" t="n">
        <v>0</v>
      </c>
      <c r="F66" s="39" t="n">
        <v>0</v>
      </c>
      <c r="G66" s="39" t="n">
        <v>1150</v>
      </c>
      <c r="H66" s="19" t="n">
        <f aca="false">E66+F66+G66</f>
        <v>1150</v>
      </c>
      <c r="I66" s="30" t="s">
        <v>961</v>
      </c>
      <c r="J66" s="17" t="s">
        <v>962</v>
      </c>
      <c r="K66" s="17" t="s">
        <v>14</v>
      </c>
      <c r="L66" s="17" t="s">
        <v>963</v>
      </c>
    </row>
    <row r="67" customFormat="false" ht="41.75" hidden="false" customHeight="false" outlineLevel="0" collapsed="false">
      <c r="A67" s="17" t="s">
        <v>580</v>
      </c>
      <c r="B67" s="17" t="s">
        <v>68</v>
      </c>
      <c r="C67" s="30" t="s">
        <v>581</v>
      </c>
      <c r="D67" s="17" t="s">
        <v>357</v>
      </c>
      <c r="E67" s="39" t="n">
        <v>0</v>
      </c>
      <c r="F67" s="39" t="n">
        <v>0</v>
      </c>
      <c r="G67" s="39" t="n">
        <v>1.15</v>
      </c>
      <c r="H67" s="19" t="n">
        <f aca="false">E67+F67+G67</f>
        <v>1.15</v>
      </c>
      <c r="I67" s="30" t="s">
        <v>961</v>
      </c>
      <c r="J67" s="17" t="s">
        <v>962</v>
      </c>
      <c r="K67" s="17" t="s">
        <v>14</v>
      </c>
      <c r="L67" s="17" t="s">
        <v>963</v>
      </c>
    </row>
    <row r="68" customFormat="false" ht="41.75" hidden="false" customHeight="false" outlineLevel="0" collapsed="false">
      <c r="A68" s="17" t="s">
        <v>586</v>
      </c>
      <c r="B68" s="17" t="s">
        <v>68</v>
      </c>
      <c r="C68" s="30" t="s">
        <v>587</v>
      </c>
      <c r="D68" s="17" t="s">
        <v>357</v>
      </c>
      <c r="E68" s="39" t="n">
        <v>0</v>
      </c>
      <c r="F68" s="39" t="n">
        <v>0</v>
      </c>
      <c r="G68" s="39" t="n">
        <v>1.45</v>
      </c>
      <c r="H68" s="19" t="n">
        <f aca="false">E68+F68+G68</f>
        <v>1.45</v>
      </c>
      <c r="I68" s="30" t="s">
        <v>961</v>
      </c>
      <c r="J68" s="17" t="s">
        <v>962</v>
      </c>
      <c r="K68" s="17" t="s">
        <v>14</v>
      </c>
      <c r="L68" s="17" t="s">
        <v>963</v>
      </c>
    </row>
    <row r="69" customFormat="false" ht="41.75" hidden="false" customHeight="false" outlineLevel="0" collapsed="false">
      <c r="A69" s="17" t="s">
        <v>589</v>
      </c>
      <c r="B69" s="17" t="s">
        <v>68</v>
      </c>
      <c r="C69" s="30" t="s">
        <v>590</v>
      </c>
      <c r="D69" s="17" t="s">
        <v>321</v>
      </c>
      <c r="E69" s="39" t="n">
        <v>0</v>
      </c>
      <c r="F69" s="39" t="n">
        <v>0</v>
      </c>
      <c r="G69" s="39" t="n">
        <v>650</v>
      </c>
      <c r="H69" s="19" t="n">
        <f aca="false">E69+F69+G69</f>
        <v>650</v>
      </c>
      <c r="I69" s="30" t="s">
        <v>961</v>
      </c>
      <c r="J69" s="17" t="s">
        <v>962</v>
      </c>
      <c r="K69" s="17" t="s">
        <v>14</v>
      </c>
      <c r="L69" s="17" t="s">
        <v>963</v>
      </c>
    </row>
    <row r="70" customFormat="false" ht="41.75" hidden="false" customHeight="false" outlineLevel="0" collapsed="false">
      <c r="A70" s="17" t="s">
        <v>592</v>
      </c>
      <c r="B70" s="17" t="s">
        <v>68</v>
      </c>
      <c r="C70" s="30" t="s">
        <v>593</v>
      </c>
      <c r="D70" s="17" t="s">
        <v>595</v>
      </c>
      <c r="E70" s="39" t="n">
        <v>118</v>
      </c>
      <c r="F70" s="39" t="n">
        <v>92</v>
      </c>
      <c r="G70" s="39" t="n">
        <v>0</v>
      </c>
      <c r="H70" s="19" t="n">
        <f aca="false">E70+F70+G70</f>
        <v>210</v>
      </c>
      <c r="I70" s="30" t="s">
        <v>961</v>
      </c>
      <c r="J70" s="17" t="s">
        <v>962</v>
      </c>
      <c r="K70" s="17" t="s">
        <v>14</v>
      </c>
      <c r="L70" s="17" t="s">
        <v>963</v>
      </c>
    </row>
    <row r="71" customFormat="false" ht="41.75" hidden="false" customHeight="false" outlineLevel="0" collapsed="false">
      <c r="A71" s="17" t="s">
        <v>598</v>
      </c>
      <c r="B71" s="17" t="s">
        <v>68</v>
      </c>
      <c r="C71" s="30" t="s">
        <v>599</v>
      </c>
      <c r="D71" s="17" t="s">
        <v>401</v>
      </c>
      <c r="E71" s="39" t="n">
        <v>3.25</v>
      </c>
      <c r="F71" s="39" t="n">
        <v>1.25</v>
      </c>
      <c r="G71" s="39" t="n">
        <v>0</v>
      </c>
      <c r="H71" s="19" t="n">
        <f aca="false">E71+F71+G71</f>
        <v>4.5</v>
      </c>
      <c r="I71" s="30" t="s">
        <v>961</v>
      </c>
      <c r="J71" s="17" t="s">
        <v>962</v>
      </c>
      <c r="K71" s="17" t="s">
        <v>14</v>
      </c>
      <c r="L71" s="17" t="s">
        <v>963</v>
      </c>
    </row>
    <row r="72" customFormat="false" ht="41.75" hidden="false" customHeight="false" outlineLevel="0" collapsed="false">
      <c r="A72" s="17" t="s">
        <v>602</v>
      </c>
      <c r="B72" s="17" t="s">
        <v>68</v>
      </c>
      <c r="C72" s="30" t="s">
        <v>603</v>
      </c>
      <c r="D72" s="17" t="s">
        <v>401</v>
      </c>
      <c r="E72" s="39" t="n">
        <v>3.75</v>
      </c>
      <c r="F72" s="39" t="n">
        <v>1.5</v>
      </c>
      <c r="G72" s="39" t="n">
        <v>0</v>
      </c>
      <c r="H72" s="19" t="n">
        <f aca="false">E72+F72+G72</f>
        <v>5.25</v>
      </c>
      <c r="I72" s="30" t="s">
        <v>961</v>
      </c>
      <c r="J72" s="17" t="s">
        <v>962</v>
      </c>
      <c r="K72" s="17" t="s">
        <v>14</v>
      </c>
      <c r="L72" s="17" t="s">
        <v>963</v>
      </c>
    </row>
    <row r="73" customFormat="false" ht="41.75" hidden="false" customHeight="false" outlineLevel="0" collapsed="false">
      <c r="A73" s="17" t="s">
        <v>605</v>
      </c>
      <c r="B73" s="17" t="s">
        <v>68</v>
      </c>
      <c r="C73" s="30" t="s">
        <v>606</v>
      </c>
      <c r="D73" s="17" t="s">
        <v>357</v>
      </c>
      <c r="E73" s="39" t="n">
        <v>2.15</v>
      </c>
      <c r="F73" s="39" t="n">
        <v>2.35</v>
      </c>
      <c r="G73" s="39" t="n">
        <v>0</v>
      </c>
      <c r="H73" s="19" t="n">
        <f aca="false">E73+F73+G73</f>
        <v>4.5</v>
      </c>
      <c r="I73" s="30" t="s">
        <v>961</v>
      </c>
      <c r="J73" s="17" t="s">
        <v>962</v>
      </c>
      <c r="K73" s="17" t="s">
        <v>14</v>
      </c>
      <c r="L73" s="17" t="s">
        <v>963</v>
      </c>
    </row>
    <row r="74" customFormat="false" ht="41.75" hidden="false" customHeight="false" outlineLevel="0" collapsed="false">
      <c r="A74" s="17" t="s">
        <v>610</v>
      </c>
      <c r="B74" s="17" t="s">
        <v>68</v>
      </c>
      <c r="C74" s="30" t="s">
        <v>611</v>
      </c>
      <c r="D74" s="17" t="s">
        <v>401</v>
      </c>
      <c r="E74" s="39" t="n">
        <v>1.1</v>
      </c>
      <c r="F74" s="39" t="n">
        <v>1.25</v>
      </c>
      <c r="G74" s="39" t="n">
        <v>0</v>
      </c>
      <c r="H74" s="19" t="n">
        <f aca="false">E74+F74+G74</f>
        <v>2.35</v>
      </c>
      <c r="I74" s="30" t="s">
        <v>961</v>
      </c>
      <c r="J74" s="17" t="s">
        <v>962</v>
      </c>
      <c r="K74" s="17" t="s">
        <v>14</v>
      </c>
      <c r="L74" s="17" t="s">
        <v>963</v>
      </c>
    </row>
    <row r="75" customFormat="false" ht="41.75" hidden="false" customHeight="false" outlineLevel="0" collapsed="false">
      <c r="A75" s="17" t="s">
        <v>615</v>
      </c>
      <c r="B75" s="17" t="s">
        <v>68</v>
      </c>
      <c r="C75" s="30" t="s">
        <v>616</v>
      </c>
      <c r="D75" s="17" t="s">
        <v>357</v>
      </c>
      <c r="E75" s="39" t="n">
        <v>2.85</v>
      </c>
      <c r="F75" s="39" t="n">
        <v>2.75</v>
      </c>
      <c r="G75" s="39" t="n">
        <v>0</v>
      </c>
      <c r="H75" s="19" t="n">
        <f aca="false">E75+F75+G75</f>
        <v>5.6</v>
      </c>
      <c r="I75" s="30" t="s">
        <v>961</v>
      </c>
      <c r="J75" s="17" t="s">
        <v>962</v>
      </c>
      <c r="K75" s="17" t="s">
        <v>14</v>
      </c>
      <c r="L75" s="17" t="s">
        <v>963</v>
      </c>
    </row>
    <row r="76" customFormat="false" ht="41.75" hidden="false" customHeight="false" outlineLevel="0" collapsed="false">
      <c r="A76" s="17" t="s">
        <v>621</v>
      </c>
      <c r="B76" s="17" t="s">
        <v>68</v>
      </c>
      <c r="C76" s="30" t="s">
        <v>622</v>
      </c>
      <c r="D76" s="17" t="s">
        <v>357</v>
      </c>
      <c r="E76" s="39" t="n">
        <v>3.1</v>
      </c>
      <c r="F76" s="39" t="n">
        <v>3.25</v>
      </c>
      <c r="G76" s="39" t="n">
        <v>0</v>
      </c>
      <c r="H76" s="19" t="n">
        <f aca="false">E76+F76+G76</f>
        <v>6.35</v>
      </c>
      <c r="I76" s="30" t="s">
        <v>961</v>
      </c>
      <c r="J76" s="17" t="s">
        <v>962</v>
      </c>
      <c r="K76" s="17" t="s">
        <v>14</v>
      </c>
      <c r="L76" s="17" t="s">
        <v>963</v>
      </c>
    </row>
    <row r="77" customFormat="false" ht="41.75" hidden="false" customHeight="false" outlineLevel="0" collapsed="false">
      <c r="A77" s="17" t="s">
        <v>625</v>
      </c>
      <c r="B77" s="17" t="s">
        <v>68</v>
      </c>
      <c r="C77" s="30" t="s">
        <v>626</v>
      </c>
      <c r="D77" s="17" t="s">
        <v>357</v>
      </c>
      <c r="E77" s="39" t="n">
        <v>2.15</v>
      </c>
      <c r="F77" s="39" t="n">
        <v>2.6</v>
      </c>
      <c r="G77" s="39" t="n">
        <v>0</v>
      </c>
      <c r="H77" s="19" t="n">
        <f aca="false">E77+F77+G77</f>
        <v>4.75</v>
      </c>
      <c r="I77" s="30" t="s">
        <v>961</v>
      </c>
      <c r="J77" s="17" t="s">
        <v>962</v>
      </c>
      <c r="K77" s="17" t="s">
        <v>14</v>
      </c>
      <c r="L77" s="17" t="s">
        <v>963</v>
      </c>
    </row>
    <row r="78" customFormat="false" ht="41.75" hidden="false" customHeight="false" outlineLevel="0" collapsed="false">
      <c r="A78" s="17" t="s">
        <v>629</v>
      </c>
      <c r="B78" s="17" t="s">
        <v>68</v>
      </c>
      <c r="C78" s="30" t="s">
        <v>630</v>
      </c>
      <c r="D78" s="17" t="s">
        <v>401</v>
      </c>
      <c r="E78" s="39" t="n">
        <v>3.25</v>
      </c>
      <c r="F78" s="39" t="n">
        <v>3</v>
      </c>
      <c r="G78" s="39" t="n">
        <v>0</v>
      </c>
      <c r="H78" s="19" t="n">
        <f aca="false">E78+F78+G78</f>
        <v>6.25</v>
      </c>
      <c r="I78" s="30" t="s">
        <v>961</v>
      </c>
      <c r="J78" s="17" t="s">
        <v>962</v>
      </c>
      <c r="K78" s="17" t="s">
        <v>14</v>
      </c>
      <c r="L78" s="17" t="s">
        <v>963</v>
      </c>
    </row>
    <row r="79" customFormat="false" ht="41.75" hidden="false" customHeight="false" outlineLevel="0" collapsed="false">
      <c r="A79" s="17" t="s">
        <v>632</v>
      </c>
      <c r="B79" s="17" t="s">
        <v>68</v>
      </c>
      <c r="C79" s="30" t="s">
        <v>633</v>
      </c>
      <c r="D79" s="17" t="s">
        <v>401</v>
      </c>
      <c r="E79" s="39" t="n">
        <v>2.4</v>
      </c>
      <c r="F79" s="39" t="n">
        <v>2.1</v>
      </c>
      <c r="G79" s="39" t="n">
        <v>0</v>
      </c>
      <c r="H79" s="19" t="n">
        <f aca="false">E79+F79+G79</f>
        <v>4.5</v>
      </c>
      <c r="I79" s="30" t="s">
        <v>961</v>
      </c>
      <c r="J79" s="17" t="s">
        <v>962</v>
      </c>
      <c r="K79" s="17" t="s">
        <v>14</v>
      </c>
      <c r="L79" s="17" t="s">
        <v>963</v>
      </c>
    </row>
    <row r="80" customFormat="false" ht="41.75" hidden="false" customHeight="false" outlineLevel="0" collapsed="false">
      <c r="A80" s="17" t="s">
        <v>634</v>
      </c>
      <c r="B80" s="17" t="s">
        <v>68</v>
      </c>
      <c r="C80" s="30" t="s">
        <v>635</v>
      </c>
      <c r="D80" s="17" t="s">
        <v>401</v>
      </c>
      <c r="E80" s="39" t="n">
        <v>1.75</v>
      </c>
      <c r="F80" s="39" t="n">
        <v>2.1</v>
      </c>
      <c r="G80" s="39" t="n">
        <v>0</v>
      </c>
      <c r="H80" s="19" t="n">
        <f aca="false">E80+F80+G80</f>
        <v>3.85</v>
      </c>
      <c r="I80" s="30" t="s">
        <v>961</v>
      </c>
      <c r="J80" s="17" t="s">
        <v>962</v>
      </c>
      <c r="K80" s="17" t="s">
        <v>14</v>
      </c>
      <c r="L80" s="17" t="s">
        <v>963</v>
      </c>
    </row>
    <row r="81" customFormat="false" ht="41.75" hidden="false" customHeight="false" outlineLevel="0" collapsed="false">
      <c r="A81" s="17" t="s">
        <v>637</v>
      </c>
      <c r="B81" s="17" t="s">
        <v>68</v>
      </c>
      <c r="C81" s="30" t="s">
        <v>638</v>
      </c>
      <c r="D81" s="17" t="s">
        <v>401</v>
      </c>
      <c r="E81" s="39" t="n">
        <v>0</v>
      </c>
      <c r="F81" s="39" t="n">
        <v>0</v>
      </c>
      <c r="G81" s="39" t="n">
        <v>8.5</v>
      </c>
      <c r="H81" s="19" t="n">
        <f aca="false">E81+F81+G81</f>
        <v>8.5</v>
      </c>
      <c r="I81" s="30" t="s">
        <v>961</v>
      </c>
      <c r="J81" s="17" t="s">
        <v>962</v>
      </c>
      <c r="K81" s="17" t="s">
        <v>14</v>
      </c>
      <c r="L81" s="17" t="s">
        <v>963</v>
      </c>
    </row>
    <row r="82" customFormat="false" ht="41.75" hidden="false" customHeight="false" outlineLevel="0" collapsed="false">
      <c r="A82" s="17" t="s">
        <v>642</v>
      </c>
      <c r="B82" s="17" t="s">
        <v>68</v>
      </c>
      <c r="C82" s="30" t="s">
        <v>643</v>
      </c>
      <c r="D82" s="17" t="s">
        <v>401</v>
      </c>
      <c r="E82" s="39" t="n">
        <v>0</v>
      </c>
      <c r="F82" s="39" t="n">
        <v>0</v>
      </c>
      <c r="G82" s="39" t="n">
        <v>8</v>
      </c>
      <c r="H82" s="19" t="n">
        <f aca="false">E82+F82+G82</f>
        <v>8</v>
      </c>
      <c r="I82" s="30" t="s">
        <v>961</v>
      </c>
      <c r="J82" s="17" t="s">
        <v>962</v>
      </c>
      <c r="K82" s="17" t="s">
        <v>14</v>
      </c>
      <c r="L82" s="17" t="s">
        <v>963</v>
      </c>
    </row>
    <row r="83" customFormat="false" ht="41.75" hidden="false" customHeight="false" outlineLevel="0" collapsed="false">
      <c r="A83" s="17" t="s">
        <v>646</v>
      </c>
      <c r="B83" s="17" t="s">
        <v>68</v>
      </c>
      <c r="C83" s="30" t="s">
        <v>647</v>
      </c>
      <c r="D83" s="17" t="s">
        <v>401</v>
      </c>
      <c r="E83" s="39" t="n">
        <v>0.85</v>
      </c>
      <c r="F83" s="39" t="n">
        <v>0.4</v>
      </c>
      <c r="G83" s="39" t="n">
        <v>0</v>
      </c>
      <c r="H83" s="19" t="n">
        <f aca="false">E83+F83+G83</f>
        <v>1.25</v>
      </c>
      <c r="I83" s="30" t="s">
        <v>961</v>
      </c>
      <c r="J83" s="17" t="s">
        <v>962</v>
      </c>
      <c r="K83" s="17" t="s">
        <v>14</v>
      </c>
      <c r="L83" s="17" t="s">
        <v>963</v>
      </c>
    </row>
    <row r="84" customFormat="false" ht="41.75" hidden="false" customHeight="false" outlineLevel="0" collapsed="false">
      <c r="A84" s="17" t="s">
        <v>649</v>
      </c>
      <c r="B84" s="17" t="s">
        <v>68</v>
      </c>
      <c r="C84" s="30" t="s">
        <v>650</v>
      </c>
      <c r="D84" s="17" t="s">
        <v>401</v>
      </c>
      <c r="E84" s="39" t="n">
        <v>0.75</v>
      </c>
      <c r="F84" s="39" t="n">
        <v>0.25</v>
      </c>
      <c r="G84" s="39" t="n">
        <v>0</v>
      </c>
      <c r="H84" s="19" t="n">
        <f aca="false">E84+F84+G84</f>
        <v>1</v>
      </c>
      <c r="I84" s="30" t="s">
        <v>961</v>
      </c>
      <c r="J84" s="17" t="s">
        <v>962</v>
      </c>
      <c r="K84" s="17" t="s">
        <v>14</v>
      </c>
      <c r="L84" s="17" t="s">
        <v>963</v>
      </c>
    </row>
    <row r="85" customFormat="false" ht="41.75" hidden="false" customHeight="false" outlineLevel="0" collapsed="false">
      <c r="A85" s="17" t="s">
        <v>652</v>
      </c>
      <c r="B85" s="17" t="s">
        <v>68</v>
      </c>
      <c r="C85" s="30" t="s">
        <v>653</v>
      </c>
      <c r="D85" s="17" t="s">
        <v>321</v>
      </c>
      <c r="E85" s="39" t="n">
        <v>225</v>
      </c>
      <c r="F85" s="39" t="n">
        <v>150</v>
      </c>
      <c r="G85" s="39" t="n">
        <v>0</v>
      </c>
      <c r="H85" s="19" t="n">
        <f aca="false">E85+F85+G85</f>
        <v>375</v>
      </c>
      <c r="I85" s="30" t="s">
        <v>961</v>
      </c>
      <c r="J85" s="17" t="s">
        <v>962</v>
      </c>
      <c r="K85" s="17" t="s">
        <v>14</v>
      </c>
      <c r="L85" s="17" t="s">
        <v>963</v>
      </c>
    </row>
    <row r="86" customFormat="false" ht="41.75" hidden="false" customHeight="false" outlineLevel="0" collapsed="false">
      <c r="A86" s="17" t="s">
        <v>654</v>
      </c>
      <c r="B86" s="17" t="s">
        <v>68</v>
      </c>
      <c r="C86" s="30" t="s">
        <v>655</v>
      </c>
      <c r="D86" s="17" t="s">
        <v>321</v>
      </c>
      <c r="E86" s="39" t="n">
        <v>450</v>
      </c>
      <c r="F86" s="39" t="n">
        <v>500</v>
      </c>
      <c r="G86" s="39" t="n">
        <v>0</v>
      </c>
      <c r="H86" s="19" t="n">
        <f aca="false">E86+F86+G86</f>
        <v>950</v>
      </c>
      <c r="I86" s="30" t="s">
        <v>961</v>
      </c>
      <c r="J86" s="17" t="s">
        <v>962</v>
      </c>
      <c r="K86" s="17" t="s">
        <v>14</v>
      </c>
      <c r="L86" s="17" t="s">
        <v>963</v>
      </c>
    </row>
    <row r="87" customFormat="false" ht="41.75" hidden="false" customHeight="false" outlineLevel="0" collapsed="false">
      <c r="A87" s="17" t="s">
        <v>656</v>
      </c>
      <c r="B87" s="17" t="s">
        <v>70</v>
      </c>
      <c r="C87" s="30" t="s">
        <v>657</v>
      </c>
      <c r="D87" s="17" t="s">
        <v>345</v>
      </c>
      <c r="E87" s="39" t="n">
        <v>420</v>
      </c>
      <c r="F87" s="39" t="n">
        <v>95</v>
      </c>
      <c r="G87" s="39" t="n">
        <v>0</v>
      </c>
      <c r="H87" s="19" t="n">
        <f aca="false">E87+F87+G87</f>
        <v>515</v>
      </c>
      <c r="I87" s="30" t="s">
        <v>961</v>
      </c>
      <c r="J87" s="17" t="s">
        <v>962</v>
      </c>
      <c r="K87" s="17" t="s">
        <v>14</v>
      </c>
      <c r="L87" s="17" t="s">
        <v>963</v>
      </c>
    </row>
    <row r="88" customFormat="false" ht="41.75" hidden="false" customHeight="false" outlineLevel="0" collapsed="false">
      <c r="A88" s="17" t="s">
        <v>661</v>
      </c>
      <c r="B88" s="17" t="s">
        <v>70</v>
      </c>
      <c r="C88" s="30" t="s">
        <v>662</v>
      </c>
      <c r="D88" s="17" t="s">
        <v>345</v>
      </c>
      <c r="E88" s="39" t="n">
        <v>925</v>
      </c>
      <c r="F88" s="39" t="n">
        <v>110</v>
      </c>
      <c r="G88" s="39" t="n">
        <v>0</v>
      </c>
      <c r="H88" s="19" t="n">
        <f aca="false">E88+F88+G88</f>
        <v>1035</v>
      </c>
      <c r="I88" s="30" t="s">
        <v>961</v>
      </c>
      <c r="J88" s="17" t="s">
        <v>962</v>
      </c>
      <c r="K88" s="17" t="s">
        <v>14</v>
      </c>
      <c r="L88" s="17" t="s">
        <v>963</v>
      </c>
    </row>
    <row r="89" customFormat="false" ht="41.75" hidden="false" customHeight="false" outlineLevel="0" collapsed="false">
      <c r="A89" s="17" t="s">
        <v>667</v>
      </c>
      <c r="B89" s="17" t="s">
        <v>70</v>
      </c>
      <c r="C89" s="30" t="s">
        <v>668</v>
      </c>
      <c r="D89" s="17" t="s">
        <v>345</v>
      </c>
      <c r="E89" s="39" t="n">
        <v>215</v>
      </c>
      <c r="F89" s="39" t="n">
        <v>85</v>
      </c>
      <c r="G89" s="39" t="n">
        <v>0</v>
      </c>
      <c r="H89" s="19" t="n">
        <f aca="false">E89+F89+G89</f>
        <v>300</v>
      </c>
      <c r="I89" s="30" t="s">
        <v>961</v>
      </c>
      <c r="J89" s="17" t="s">
        <v>962</v>
      </c>
      <c r="K89" s="17" t="s">
        <v>14</v>
      </c>
      <c r="L89" s="17" t="s">
        <v>963</v>
      </c>
    </row>
    <row r="90" customFormat="false" ht="41.75" hidden="false" customHeight="false" outlineLevel="0" collapsed="false">
      <c r="A90" s="17" t="s">
        <v>671</v>
      </c>
      <c r="B90" s="17" t="s">
        <v>70</v>
      </c>
      <c r="C90" s="30" t="s">
        <v>672</v>
      </c>
      <c r="D90" s="17" t="s">
        <v>345</v>
      </c>
      <c r="E90" s="39" t="n">
        <v>335</v>
      </c>
      <c r="F90" s="39" t="n">
        <v>95</v>
      </c>
      <c r="G90" s="39" t="n">
        <v>0</v>
      </c>
      <c r="H90" s="19" t="n">
        <f aca="false">E90+F90+G90</f>
        <v>430</v>
      </c>
      <c r="I90" s="30" t="s">
        <v>961</v>
      </c>
      <c r="J90" s="17" t="s">
        <v>962</v>
      </c>
      <c r="K90" s="17" t="s">
        <v>14</v>
      </c>
      <c r="L90" s="17" t="s">
        <v>963</v>
      </c>
    </row>
    <row r="91" customFormat="false" ht="41.75" hidden="false" customHeight="false" outlineLevel="0" collapsed="false">
      <c r="A91" s="17" t="s">
        <v>227</v>
      </c>
      <c r="B91" s="17" t="s">
        <v>70</v>
      </c>
      <c r="C91" s="30" t="s">
        <v>676</v>
      </c>
      <c r="D91" s="17" t="s">
        <v>345</v>
      </c>
      <c r="E91" s="39" t="n">
        <v>1950</v>
      </c>
      <c r="F91" s="39" t="n">
        <v>275</v>
      </c>
      <c r="G91" s="39" t="n">
        <v>0</v>
      </c>
      <c r="H91" s="19" t="n">
        <f aca="false">E91+F91+G91</f>
        <v>2225</v>
      </c>
      <c r="I91" s="30" t="s">
        <v>961</v>
      </c>
      <c r="J91" s="17" t="s">
        <v>962</v>
      </c>
      <c r="K91" s="17" t="s">
        <v>14</v>
      </c>
      <c r="L91" s="17" t="s">
        <v>963</v>
      </c>
    </row>
    <row r="92" customFormat="false" ht="41.75" hidden="false" customHeight="false" outlineLevel="0" collapsed="false">
      <c r="A92" s="17" t="s">
        <v>679</v>
      </c>
      <c r="B92" s="17" t="s">
        <v>70</v>
      </c>
      <c r="C92" s="30" t="s">
        <v>680</v>
      </c>
      <c r="D92" s="17" t="s">
        <v>345</v>
      </c>
      <c r="E92" s="39" t="n">
        <v>520</v>
      </c>
      <c r="F92" s="39" t="n">
        <v>185</v>
      </c>
      <c r="G92" s="39" t="n">
        <v>0</v>
      </c>
      <c r="H92" s="19" t="n">
        <f aca="false">E92+F92+G92</f>
        <v>705</v>
      </c>
      <c r="I92" s="30" t="s">
        <v>961</v>
      </c>
      <c r="J92" s="17" t="s">
        <v>962</v>
      </c>
      <c r="K92" s="17" t="s">
        <v>14</v>
      </c>
      <c r="L92" s="17" t="s">
        <v>963</v>
      </c>
    </row>
    <row r="93" customFormat="false" ht="41.75" hidden="false" customHeight="false" outlineLevel="0" collapsed="false">
      <c r="A93" s="17" t="s">
        <v>682</v>
      </c>
      <c r="B93" s="17" t="s">
        <v>70</v>
      </c>
      <c r="C93" s="30" t="s">
        <v>683</v>
      </c>
      <c r="D93" s="17" t="s">
        <v>345</v>
      </c>
      <c r="E93" s="39" t="n">
        <v>365</v>
      </c>
      <c r="F93" s="39" t="n">
        <v>185</v>
      </c>
      <c r="G93" s="39" t="n">
        <v>0</v>
      </c>
      <c r="H93" s="19" t="n">
        <f aca="false">E93+F93+G93</f>
        <v>550</v>
      </c>
      <c r="I93" s="30" t="s">
        <v>961</v>
      </c>
      <c r="J93" s="17" t="s">
        <v>962</v>
      </c>
      <c r="K93" s="17" t="s">
        <v>14</v>
      </c>
      <c r="L93" s="17" t="s">
        <v>963</v>
      </c>
    </row>
    <row r="94" customFormat="false" ht="41.75" hidden="false" customHeight="false" outlineLevel="0" collapsed="false">
      <c r="A94" s="17" t="s">
        <v>685</v>
      </c>
      <c r="B94" s="17" t="s">
        <v>70</v>
      </c>
      <c r="C94" s="30" t="s">
        <v>686</v>
      </c>
      <c r="D94" s="17" t="s">
        <v>345</v>
      </c>
      <c r="E94" s="39" t="n">
        <v>195</v>
      </c>
      <c r="F94" s="39" t="n">
        <v>95</v>
      </c>
      <c r="G94" s="39" t="n">
        <v>0</v>
      </c>
      <c r="H94" s="19" t="n">
        <f aca="false">E94+F94+G94</f>
        <v>290</v>
      </c>
      <c r="I94" s="30" t="s">
        <v>961</v>
      </c>
      <c r="J94" s="17" t="s">
        <v>962</v>
      </c>
      <c r="K94" s="17" t="s">
        <v>14</v>
      </c>
      <c r="L94" s="17" t="s">
        <v>963</v>
      </c>
    </row>
    <row r="95" customFormat="false" ht="41.75" hidden="false" customHeight="false" outlineLevel="0" collapsed="false">
      <c r="A95" s="17" t="s">
        <v>687</v>
      </c>
      <c r="B95" s="17" t="s">
        <v>70</v>
      </c>
      <c r="C95" s="30" t="s">
        <v>688</v>
      </c>
      <c r="D95" s="17" t="s">
        <v>345</v>
      </c>
      <c r="E95" s="39" t="n">
        <v>395</v>
      </c>
      <c r="F95" s="39" t="n">
        <v>145</v>
      </c>
      <c r="G95" s="39" t="n">
        <v>0</v>
      </c>
      <c r="H95" s="19" t="n">
        <f aca="false">E95+F95+G95</f>
        <v>540</v>
      </c>
      <c r="I95" s="30" t="s">
        <v>961</v>
      </c>
      <c r="J95" s="17" t="s">
        <v>962</v>
      </c>
      <c r="K95" s="17" t="s">
        <v>14</v>
      </c>
      <c r="L95" s="17" t="s">
        <v>963</v>
      </c>
    </row>
    <row r="96" customFormat="false" ht="41.75" hidden="false" customHeight="false" outlineLevel="0" collapsed="false">
      <c r="A96" s="17" t="s">
        <v>691</v>
      </c>
      <c r="B96" s="17" t="s">
        <v>70</v>
      </c>
      <c r="C96" s="30" t="s">
        <v>692</v>
      </c>
      <c r="D96" s="17" t="s">
        <v>345</v>
      </c>
      <c r="E96" s="39" t="n">
        <v>215</v>
      </c>
      <c r="F96" s="39" t="n">
        <v>45</v>
      </c>
      <c r="G96" s="39" t="n">
        <v>0</v>
      </c>
      <c r="H96" s="19" t="n">
        <f aca="false">E96+F96+G96</f>
        <v>260</v>
      </c>
      <c r="I96" s="30" t="s">
        <v>961</v>
      </c>
      <c r="J96" s="17" t="s">
        <v>962</v>
      </c>
      <c r="K96" s="17" t="s">
        <v>14</v>
      </c>
      <c r="L96" s="17" t="s">
        <v>963</v>
      </c>
    </row>
    <row r="97" customFormat="false" ht="41.75" hidden="false" customHeight="false" outlineLevel="0" collapsed="false">
      <c r="A97" s="17" t="s">
        <v>694</v>
      </c>
      <c r="B97" s="17" t="s">
        <v>70</v>
      </c>
      <c r="C97" s="30" t="s">
        <v>695</v>
      </c>
      <c r="D97" s="17" t="s">
        <v>345</v>
      </c>
      <c r="E97" s="39" t="n">
        <v>95</v>
      </c>
      <c r="F97" s="39" t="n">
        <v>40</v>
      </c>
      <c r="G97" s="39" t="n">
        <v>0</v>
      </c>
      <c r="H97" s="19" t="n">
        <f aca="false">E97+F97+G97</f>
        <v>135</v>
      </c>
      <c r="I97" s="30" t="s">
        <v>961</v>
      </c>
      <c r="J97" s="17" t="s">
        <v>962</v>
      </c>
      <c r="K97" s="17" t="s">
        <v>14</v>
      </c>
      <c r="L97" s="17" t="s">
        <v>963</v>
      </c>
    </row>
    <row r="98" customFormat="false" ht="41.75" hidden="false" customHeight="false" outlineLevel="0" collapsed="false">
      <c r="A98" s="17" t="s">
        <v>697</v>
      </c>
      <c r="B98" s="17" t="s">
        <v>70</v>
      </c>
      <c r="C98" s="30" t="s">
        <v>698</v>
      </c>
      <c r="D98" s="17" t="s">
        <v>345</v>
      </c>
      <c r="E98" s="39" t="n">
        <v>32</v>
      </c>
      <c r="F98" s="39" t="n">
        <v>20</v>
      </c>
      <c r="G98" s="39" t="n">
        <v>0</v>
      </c>
      <c r="H98" s="19" t="n">
        <f aca="false">E98+F98+G98</f>
        <v>52</v>
      </c>
      <c r="I98" s="30" t="s">
        <v>961</v>
      </c>
      <c r="J98" s="17" t="s">
        <v>962</v>
      </c>
      <c r="K98" s="17" t="s">
        <v>14</v>
      </c>
      <c r="L98" s="17" t="s">
        <v>963</v>
      </c>
    </row>
    <row r="99" customFormat="false" ht="41.75" hidden="false" customHeight="false" outlineLevel="0" collapsed="false">
      <c r="A99" s="17" t="s">
        <v>700</v>
      </c>
      <c r="B99" s="17" t="s">
        <v>70</v>
      </c>
      <c r="C99" s="30" t="s">
        <v>701</v>
      </c>
      <c r="D99" s="17" t="s">
        <v>345</v>
      </c>
      <c r="E99" s="39" t="n">
        <v>28</v>
      </c>
      <c r="F99" s="39" t="n">
        <v>20</v>
      </c>
      <c r="G99" s="39" t="n">
        <v>0</v>
      </c>
      <c r="H99" s="19" t="n">
        <f aca="false">E99+F99+G99</f>
        <v>48</v>
      </c>
      <c r="I99" s="30" t="s">
        <v>961</v>
      </c>
      <c r="J99" s="17" t="s">
        <v>962</v>
      </c>
      <c r="K99" s="17" t="s">
        <v>14</v>
      </c>
      <c r="L99" s="17" t="s">
        <v>963</v>
      </c>
    </row>
    <row r="100" customFormat="false" ht="41.75" hidden="false" customHeight="false" outlineLevel="0" collapsed="false">
      <c r="A100" s="17" t="s">
        <v>702</v>
      </c>
      <c r="B100" s="17" t="s">
        <v>70</v>
      </c>
      <c r="C100" s="30" t="s">
        <v>703</v>
      </c>
      <c r="D100" s="17" t="s">
        <v>345</v>
      </c>
      <c r="E100" s="39" t="n">
        <v>22</v>
      </c>
      <c r="F100" s="39" t="n">
        <v>10</v>
      </c>
      <c r="G100" s="39" t="n">
        <v>0</v>
      </c>
      <c r="H100" s="19" t="n">
        <f aca="false">E100+F100+G100</f>
        <v>32</v>
      </c>
      <c r="I100" s="30" t="s">
        <v>961</v>
      </c>
      <c r="J100" s="17" t="s">
        <v>962</v>
      </c>
      <c r="K100" s="17" t="s">
        <v>14</v>
      </c>
      <c r="L100" s="17" t="s">
        <v>963</v>
      </c>
    </row>
    <row r="101" customFormat="false" ht="41.75" hidden="false" customHeight="false" outlineLevel="0" collapsed="false">
      <c r="A101" s="17" t="s">
        <v>704</v>
      </c>
      <c r="B101" s="17" t="s">
        <v>70</v>
      </c>
      <c r="C101" s="30" t="s">
        <v>705</v>
      </c>
      <c r="D101" s="17" t="s">
        <v>345</v>
      </c>
      <c r="E101" s="39" t="n">
        <v>5</v>
      </c>
      <c r="F101" s="39" t="n">
        <v>4</v>
      </c>
      <c r="G101" s="39" t="n">
        <v>0</v>
      </c>
      <c r="H101" s="19" t="n">
        <f aca="false">E101+F101+G101</f>
        <v>9</v>
      </c>
      <c r="I101" s="30" t="s">
        <v>961</v>
      </c>
      <c r="J101" s="17" t="s">
        <v>962</v>
      </c>
      <c r="K101" s="17" t="s">
        <v>14</v>
      </c>
      <c r="L101" s="17" t="s">
        <v>963</v>
      </c>
    </row>
    <row r="102" customFormat="false" ht="41.75" hidden="false" customHeight="false" outlineLevel="0" collapsed="false">
      <c r="A102" s="17" t="s">
        <v>707</v>
      </c>
      <c r="B102" s="17" t="s">
        <v>72</v>
      </c>
      <c r="C102" s="30" t="s">
        <v>708</v>
      </c>
      <c r="D102" s="17" t="s">
        <v>357</v>
      </c>
      <c r="E102" s="39" t="n">
        <v>0.58</v>
      </c>
      <c r="F102" s="39" t="n">
        <v>1.55</v>
      </c>
      <c r="G102" s="39" t="n">
        <v>0</v>
      </c>
      <c r="H102" s="19" t="n">
        <f aca="false">E102+F102+G102</f>
        <v>2.13</v>
      </c>
      <c r="I102" s="30" t="s">
        <v>961</v>
      </c>
      <c r="J102" s="17" t="s">
        <v>962</v>
      </c>
      <c r="K102" s="17" t="s">
        <v>14</v>
      </c>
      <c r="L102" s="17" t="s">
        <v>963</v>
      </c>
    </row>
    <row r="103" customFormat="false" ht="41.75" hidden="false" customHeight="false" outlineLevel="0" collapsed="false">
      <c r="A103" s="17" t="s">
        <v>713</v>
      </c>
      <c r="B103" s="17" t="s">
        <v>72</v>
      </c>
      <c r="C103" s="30" t="s">
        <v>714</v>
      </c>
      <c r="D103" s="17" t="s">
        <v>357</v>
      </c>
      <c r="E103" s="39" t="n">
        <v>0.18</v>
      </c>
      <c r="F103" s="39" t="n">
        <v>0</v>
      </c>
      <c r="G103" s="39" t="n">
        <v>0</v>
      </c>
      <c r="H103" s="19" t="n">
        <f aca="false">E103+F103+G103</f>
        <v>0.18</v>
      </c>
      <c r="I103" s="30" t="s">
        <v>961</v>
      </c>
      <c r="J103" s="17" t="s">
        <v>962</v>
      </c>
      <c r="K103" s="17" t="s">
        <v>14</v>
      </c>
      <c r="L103" s="17" t="s">
        <v>963</v>
      </c>
    </row>
    <row r="104" customFormat="false" ht="41.75" hidden="false" customHeight="false" outlineLevel="0" collapsed="false">
      <c r="A104" s="17" t="s">
        <v>717</v>
      </c>
      <c r="B104" s="17" t="s">
        <v>72</v>
      </c>
      <c r="C104" s="30" t="s">
        <v>718</v>
      </c>
      <c r="D104" s="17" t="s">
        <v>357</v>
      </c>
      <c r="E104" s="39" t="n">
        <v>0.72</v>
      </c>
      <c r="F104" s="39" t="n">
        <v>1.75</v>
      </c>
      <c r="G104" s="39" t="n">
        <v>0</v>
      </c>
      <c r="H104" s="19" t="n">
        <f aca="false">E104+F104+G104</f>
        <v>2.47</v>
      </c>
      <c r="I104" s="30" t="s">
        <v>961</v>
      </c>
      <c r="J104" s="17" t="s">
        <v>962</v>
      </c>
      <c r="K104" s="17" t="s">
        <v>14</v>
      </c>
      <c r="L104" s="17" t="s">
        <v>963</v>
      </c>
    </row>
    <row r="105" customFormat="false" ht="41.75" hidden="false" customHeight="false" outlineLevel="0" collapsed="false">
      <c r="A105" s="17" t="s">
        <v>721</v>
      </c>
      <c r="B105" s="17" t="s">
        <v>72</v>
      </c>
      <c r="C105" s="30" t="s">
        <v>722</v>
      </c>
      <c r="D105" s="17" t="s">
        <v>357</v>
      </c>
      <c r="E105" s="39" t="n">
        <v>0.12</v>
      </c>
      <c r="F105" s="39" t="n">
        <v>0</v>
      </c>
      <c r="G105" s="39" t="n">
        <v>0</v>
      </c>
      <c r="H105" s="19" t="n">
        <f aca="false">E105+F105+G105</f>
        <v>0.12</v>
      </c>
      <c r="I105" s="30" t="s">
        <v>961</v>
      </c>
      <c r="J105" s="17" t="s">
        <v>962</v>
      </c>
      <c r="K105" s="17" t="s">
        <v>14</v>
      </c>
      <c r="L105" s="17" t="s">
        <v>963</v>
      </c>
    </row>
    <row r="106" customFormat="false" ht="41.75" hidden="false" customHeight="false" outlineLevel="0" collapsed="false">
      <c r="A106" s="17" t="s">
        <v>725</v>
      </c>
      <c r="B106" s="17" t="s">
        <v>72</v>
      </c>
      <c r="C106" s="30" t="s">
        <v>726</v>
      </c>
      <c r="D106" s="17" t="s">
        <v>401</v>
      </c>
      <c r="E106" s="39" t="n">
        <v>1.1</v>
      </c>
      <c r="F106" s="39" t="n">
        <v>1.35</v>
      </c>
      <c r="G106" s="39" t="n">
        <v>0</v>
      </c>
      <c r="H106" s="19" t="n">
        <f aca="false">E106+F106+G106</f>
        <v>2.45</v>
      </c>
      <c r="I106" s="30" t="s">
        <v>961</v>
      </c>
      <c r="J106" s="17" t="s">
        <v>962</v>
      </c>
      <c r="K106" s="17" t="s">
        <v>14</v>
      </c>
      <c r="L106" s="17" t="s">
        <v>963</v>
      </c>
    </row>
    <row r="107" customFormat="false" ht="41.75" hidden="false" customHeight="false" outlineLevel="0" collapsed="false">
      <c r="A107" s="17" t="s">
        <v>730</v>
      </c>
      <c r="B107" s="17" t="s">
        <v>72</v>
      </c>
      <c r="C107" s="30" t="s">
        <v>731</v>
      </c>
      <c r="D107" s="17" t="s">
        <v>401</v>
      </c>
      <c r="E107" s="39" t="n">
        <v>0.85</v>
      </c>
      <c r="F107" s="39" t="n">
        <v>1.25</v>
      </c>
      <c r="G107" s="39" t="n">
        <v>0</v>
      </c>
      <c r="H107" s="19" t="n">
        <f aca="false">E107+F107+G107</f>
        <v>2.1</v>
      </c>
      <c r="I107" s="30" t="s">
        <v>961</v>
      </c>
      <c r="J107" s="17" t="s">
        <v>962</v>
      </c>
      <c r="K107" s="17" t="s">
        <v>14</v>
      </c>
      <c r="L107" s="17" t="s">
        <v>963</v>
      </c>
    </row>
    <row r="108" customFormat="false" ht="41.75" hidden="false" customHeight="false" outlineLevel="0" collapsed="false">
      <c r="A108" s="17" t="s">
        <v>734</v>
      </c>
      <c r="B108" s="17" t="s">
        <v>72</v>
      </c>
      <c r="C108" s="30" t="s">
        <v>735</v>
      </c>
      <c r="D108" s="17" t="s">
        <v>401</v>
      </c>
      <c r="E108" s="39" t="n">
        <v>1.6</v>
      </c>
      <c r="F108" s="39" t="n">
        <v>2.5</v>
      </c>
      <c r="G108" s="39" t="n">
        <v>0</v>
      </c>
      <c r="H108" s="19" t="n">
        <f aca="false">E108+F108+G108</f>
        <v>4.1</v>
      </c>
      <c r="I108" s="30" t="s">
        <v>961</v>
      </c>
      <c r="J108" s="17" t="s">
        <v>962</v>
      </c>
      <c r="K108" s="17" t="s">
        <v>14</v>
      </c>
      <c r="L108" s="17" t="s">
        <v>963</v>
      </c>
    </row>
    <row r="109" customFormat="false" ht="41.75" hidden="false" customHeight="false" outlineLevel="0" collapsed="false">
      <c r="A109" s="17" t="s">
        <v>738</v>
      </c>
      <c r="B109" s="17" t="s">
        <v>72</v>
      </c>
      <c r="C109" s="30" t="s">
        <v>739</v>
      </c>
      <c r="D109" s="17" t="s">
        <v>357</v>
      </c>
      <c r="E109" s="39" t="n">
        <v>0.28</v>
      </c>
      <c r="F109" s="39" t="n">
        <v>1.02</v>
      </c>
      <c r="G109" s="39" t="n">
        <v>0</v>
      </c>
      <c r="H109" s="19" t="n">
        <f aca="false">E109+F109+G109</f>
        <v>1.3</v>
      </c>
      <c r="I109" s="30" t="s">
        <v>961</v>
      </c>
      <c r="J109" s="17" t="s">
        <v>962</v>
      </c>
      <c r="K109" s="17" t="s">
        <v>14</v>
      </c>
      <c r="L109" s="17" t="s">
        <v>963</v>
      </c>
    </row>
    <row r="110" customFormat="false" ht="41.75" hidden="false" customHeight="false" outlineLevel="0" collapsed="false">
      <c r="A110" s="17" t="s">
        <v>742</v>
      </c>
      <c r="B110" s="17" t="s">
        <v>72</v>
      </c>
      <c r="C110" s="30" t="s">
        <v>743</v>
      </c>
      <c r="D110" s="17" t="s">
        <v>345</v>
      </c>
      <c r="E110" s="39" t="n">
        <v>18</v>
      </c>
      <c r="F110" s="39" t="n">
        <v>65</v>
      </c>
      <c r="G110" s="39" t="n">
        <v>0</v>
      </c>
      <c r="H110" s="19" t="n">
        <f aca="false">E110+F110+G110</f>
        <v>83</v>
      </c>
      <c r="I110" s="30" t="s">
        <v>961</v>
      </c>
      <c r="J110" s="17" t="s">
        <v>962</v>
      </c>
      <c r="K110" s="17" t="s">
        <v>14</v>
      </c>
      <c r="L110" s="17" t="s">
        <v>963</v>
      </c>
    </row>
    <row r="111" customFormat="false" ht="41.75" hidden="false" customHeight="false" outlineLevel="0" collapsed="false">
      <c r="A111" s="17" t="s">
        <v>745</v>
      </c>
      <c r="B111" s="17" t="s">
        <v>72</v>
      </c>
      <c r="C111" s="30" t="s">
        <v>746</v>
      </c>
      <c r="D111" s="17" t="s">
        <v>401</v>
      </c>
      <c r="E111" s="39" t="n">
        <v>0.1</v>
      </c>
      <c r="F111" s="39" t="n">
        <v>0.75</v>
      </c>
      <c r="G111" s="39" t="n">
        <v>0</v>
      </c>
      <c r="H111" s="19" t="n">
        <f aca="false">E111+F111+G111</f>
        <v>0.85</v>
      </c>
      <c r="I111" s="30" t="s">
        <v>961</v>
      </c>
      <c r="J111" s="17" t="s">
        <v>962</v>
      </c>
      <c r="K111" s="17" t="s">
        <v>14</v>
      </c>
      <c r="L111" s="17" t="s">
        <v>963</v>
      </c>
    </row>
    <row r="112" customFormat="false" ht="41.75" hidden="false" customHeight="false" outlineLevel="0" collapsed="false">
      <c r="A112" s="17" t="s">
        <v>749</v>
      </c>
      <c r="B112" s="17" t="s">
        <v>72</v>
      </c>
      <c r="C112" s="30" t="s">
        <v>750</v>
      </c>
      <c r="D112" s="17" t="s">
        <v>357</v>
      </c>
      <c r="E112" s="39" t="n">
        <v>0.32</v>
      </c>
      <c r="F112" s="39" t="n">
        <v>0.95</v>
      </c>
      <c r="G112" s="39" t="n">
        <v>0</v>
      </c>
      <c r="H112" s="19" t="n">
        <f aca="false">E112+F112+G112</f>
        <v>1.27</v>
      </c>
      <c r="I112" s="30" t="s">
        <v>961</v>
      </c>
      <c r="J112" s="17" t="s">
        <v>962</v>
      </c>
      <c r="K112" s="17" t="s">
        <v>14</v>
      </c>
      <c r="L112" s="17" t="s">
        <v>963</v>
      </c>
    </row>
    <row r="113" customFormat="false" ht="41.75" hidden="false" customHeight="false" outlineLevel="0" collapsed="false">
      <c r="A113" s="17" t="s">
        <v>753</v>
      </c>
      <c r="B113" s="17" t="s">
        <v>72</v>
      </c>
      <c r="C113" s="30" t="s">
        <v>754</v>
      </c>
      <c r="D113" s="17" t="s">
        <v>401</v>
      </c>
      <c r="E113" s="39" t="n">
        <v>0.08</v>
      </c>
      <c r="F113" s="39" t="n">
        <v>0.65</v>
      </c>
      <c r="G113" s="39" t="n">
        <v>0</v>
      </c>
      <c r="H113" s="19" t="n">
        <f aca="false">E113+F113+G113</f>
        <v>0.73</v>
      </c>
      <c r="I113" s="30" t="s">
        <v>961</v>
      </c>
      <c r="J113" s="17" t="s">
        <v>962</v>
      </c>
      <c r="K113" s="17" t="s">
        <v>14</v>
      </c>
      <c r="L113" s="17" t="s">
        <v>963</v>
      </c>
    </row>
    <row r="114" customFormat="false" ht="41.75" hidden="false" customHeight="false" outlineLevel="0" collapsed="false">
      <c r="A114" s="17" t="s">
        <v>756</v>
      </c>
      <c r="B114" s="17" t="s">
        <v>72</v>
      </c>
      <c r="C114" s="30" t="s">
        <v>757</v>
      </c>
      <c r="D114" s="17" t="s">
        <v>345</v>
      </c>
      <c r="E114" s="39" t="n">
        <v>25</v>
      </c>
      <c r="F114" s="39" t="n">
        <v>85</v>
      </c>
      <c r="G114" s="39" t="n">
        <v>0</v>
      </c>
      <c r="H114" s="19" t="n">
        <f aca="false">E114+F114+G114</f>
        <v>110</v>
      </c>
      <c r="I114" s="30" t="s">
        <v>961</v>
      </c>
      <c r="J114" s="17" t="s">
        <v>962</v>
      </c>
      <c r="K114" s="17" t="s">
        <v>14</v>
      </c>
      <c r="L114" s="17" t="s">
        <v>963</v>
      </c>
    </row>
    <row r="115" customFormat="false" ht="41.75" hidden="false" customHeight="false" outlineLevel="0" collapsed="false">
      <c r="A115" s="17" t="s">
        <v>759</v>
      </c>
      <c r="B115" s="17" t="s">
        <v>72</v>
      </c>
      <c r="C115" s="30" t="s">
        <v>760</v>
      </c>
      <c r="D115" s="17" t="s">
        <v>321</v>
      </c>
      <c r="E115" s="39" t="n">
        <v>150</v>
      </c>
      <c r="F115" s="39" t="n">
        <v>250</v>
      </c>
      <c r="G115" s="39" t="n">
        <v>0</v>
      </c>
      <c r="H115" s="19" t="n">
        <f aca="false">E115+F115+G115</f>
        <v>400</v>
      </c>
      <c r="I115" s="30" t="s">
        <v>961</v>
      </c>
      <c r="J115" s="17" t="s">
        <v>962</v>
      </c>
      <c r="K115" s="17" t="s">
        <v>14</v>
      </c>
      <c r="L115" s="17" t="s">
        <v>963</v>
      </c>
    </row>
    <row r="116" customFormat="false" ht="41.75" hidden="false" customHeight="false" outlineLevel="0" collapsed="false">
      <c r="A116" s="17" t="s">
        <v>761</v>
      </c>
      <c r="B116" s="17" t="s">
        <v>74</v>
      </c>
      <c r="C116" s="30" t="s">
        <v>762</v>
      </c>
      <c r="D116" s="17" t="s">
        <v>764</v>
      </c>
      <c r="E116" s="39" t="n">
        <v>140</v>
      </c>
      <c r="F116" s="39" t="n">
        <v>85</v>
      </c>
      <c r="G116" s="39" t="n">
        <v>0</v>
      </c>
      <c r="H116" s="19" t="n">
        <f aca="false">E116+F116+G116</f>
        <v>225</v>
      </c>
      <c r="I116" s="30" t="s">
        <v>961</v>
      </c>
      <c r="J116" s="17" t="s">
        <v>962</v>
      </c>
      <c r="K116" s="17" t="s">
        <v>14</v>
      </c>
      <c r="L116" s="17" t="s">
        <v>963</v>
      </c>
    </row>
    <row r="117" customFormat="false" ht="41.75" hidden="false" customHeight="false" outlineLevel="0" collapsed="false">
      <c r="A117" s="17" t="s">
        <v>765</v>
      </c>
      <c r="B117" s="17" t="s">
        <v>74</v>
      </c>
      <c r="C117" s="30" t="s">
        <v>766</v>
      </c>
      <c r="D117" s="17" t="s">
        <v>345</v>
      </c>
      <c r="E117" s="39" t="n">
        <v>95</v>
      </c>
      <c r="F117" s="39" t="n">
        <v>45</v>
      </c>
      <c r="G117" s="39" t="n">
        <v>0</v>
      </c>
      <c r="H117" s="19" t="n">
        <f aca="false">E117+F117+G117</f>
        <v>140</v>
      </c>
      <c r="I117" s="30" t="s">
        <v>961</v>
      </c>
      <c r="J117" s="17" t="s">
        <v>962</v>
      </c>
      <c r="K117" s="17" t="s">
        <v>14</v>
      </c>
      <c r="L117" s="17" t="s">
        <v>963</v>
      </c>
    </row>
    <row r="118" customFormat="false" ht="41.75" hidden="false" customHeight="false" outlineLevel="0" collapsed="false">
      <c r="A118" s="17" t="s">
        <v>768</v>
      </c>
      <c r="B118" s="17" t="s">
        <v>74</v>
      </c>
      <c r="C118" s="30" t="s">
        <v>769</v>
      </c>
      <c r="D118" s="17" t="s">
        <v>401</v>
      </c>
      <c r="E118" s="39" t="n">
        <v>9</v>
      </c>
      <c r="F118" s="39" t="n">
        <v>7</v>
      </c>
      <c r="G118" s="39" t="n">
        <v>0</v>
      </c>
      <c r="H118" s="19" t="n">
        <f aca="false">E118+F118+G118</f>
        <v>16</v>
      </c>
      <c r="I118" s="30" t="s">
        <v>961</v>
      </c>
      <c r="J118" s="17" t="s">
        <v>962</v>
      </c>
      <c r="K118" s="17" t="s">
        <v>14</v>
      </c>
      <c r="L118" s="17" t="s">
        <v>963</v>
      </c>
    </row>
    <row r="119" customFormat="false" ht="41.75" hidden="false" customHeight="false" outlineLevel="0" collapsed="false">
      <c r="A119" s="17" t="s">
        <v>773</v>
      </c>
      <c r="B119" s="17" t="s">
        <v>74</v>
      </c>
      <c r="C119" s="30" t="s">
        <v>774</v>
      </c>
      <c r="D119" s="17" t="s">
        <v>345</v>
      </c>
      <c r="E119" s="39" t="n">
        <v>30</v>
      </c>
      <c r="F119" s="39" t="n">
        <v>20</v>
      </c>
      <c r="G119" s="39" t="n">
        <v>0</v>
      </c>
      <c r="H119" s="19" t="n">
        <f aca="false">E119+F119+G119</f>
        <v>50</v>
      </c>
      <c r="I119" s="30" t="s">
        <v>961</v>
      </c>
      <c r="J119" s="17" t="s">
        <v>962</v>
      </c>
      <c r="K119" s="17" t="s">
        <v>14</v>
      </c>
      <c r="L119" s="17" t="s">
        <v>963</v>
      </c>
    </row>
    <row r="120" customFormat="false" ht="41.75" hidden="false" customHeight="false" outlineLevel="0" collapsed="false">
      <c r="A120" s="17" t="s">
        <v>775</v>
      </c>
      <c r="B120" s="17" t="s">
        <v>74</v>
      </c>
      <c r="C120" s="30" t="s">
        <v>776</v>
      </c>
      <c r="D120" s="17" t="s">
        <v>321</v>
      </c>
      <c r="E120" s="39" t="n">
        <v>175</v>
      </c>
      <c r="F120" s="39" t="n">
        <v>75</v>
      </c>
      <c r="G120" s="39" t="n">
        <v>0</v>
      </c>
      <c r="H120" s="19" t="n">
        <f aca="false">E120+F120+G120</f>
        <v>250</v>
      </c>
      <c r="I120" s="30" t="s">
        <v>961</v>
      </c>
      <c r="J120" s="17" t="s">
        <v>962</v>
      </c>
      <c r="K120" s="17" t="s">
        <v>14</v>
      </c>
      <c r="L120" s="17" t="s">
        <v>963</v>
      </c>
    </row>
    <row r="121" customFormat="false" ht="28.35" hidden="false" customHeight="false" outlineLevel="0" collapsed="false">
      <c r="A121" s="17" t="s">
        <v>777</v>
      </c>
      <c r="B121" s="17" t="s">
        <v>76</v>
      </c>
      <c r="C121" s="30" t="s">
        <v>778</v>
      </c>
      <c r="D121" s="17" t="s">
        <v>321</v>
      </c>
      <c r="E121" s="39" t="n">
        <v>0</v>
      </c>
      <c r="F121" s="39" t="n">
        <v>0</v>
      </c>
      <c r="G121" s="39" t="n">
        <v>0</v>
      </c>
      <c r="H121" s="19" t="n">
        <f aca="false">E121+F121+G121</f>
        <v>0</v>
      </c>
      <c r="I121" s="30" t="s">
        <v>964</v>
      </c>
      <c r="J121" s="17" t="s">
        <v>962</v>
      </c>
      <c r="K121" s="17" t="s">
        <v>14</v>
      </c>
      <c r="L121" s="17" t="s">
        <v>963</v>
      </c>
    </row>
    <row r="122" customFormat="false" ht="41.75" hidden="false" customHeight="false" outlineLevel="0" collapsed="false">
      <c r="A122" s="17" t="s">
        <v>782</v>
      </c>
      <c r="B122" s="17" t="s">
        <v>76</v>
      </c>
      <c r="C122" s="30" t="s">
        <v>783</v>
      </c>
      <c r="D122" s="17" t="s">
        <v>321</v>
      </c>
      <c r="E122" s="39" t="n">
        <v>85</v>
      </c>
      <c r="F122" s="39" t="n">
        <v>350</v>
      </c>
      <c r="G122" s="39" t="n">
        <v>0</v>
      </c>
      <c r="H122" s="19" t="n">
        <f aca="false">E122+F122+G122</f>
        <v>435</v>
      </c>
      <c r="I122" s="30" t="s">
        <v>961</v>
      </c>
      <c r="J122" s="17" t="s">
        <v>962</v>
      </c>
      <c r="K122" s="17" t="s">
        <v>14</v>
      </c>
      <c r="L122" s="17" t="s">
        <v>963</v>
      </c>
    </row>
    <row r="123" customFormat="false" ht="41.75" hidden="false" customHeight="false" outlineLevel="0" collapsed="false">
      <c r="A123" s="17" t="s">
        <v>784</v>
      </c>
      <c r="B123" s="17" t="s">
        <v>78</v>
      </c>
      <c r="C123" s="30" t="s">
        <v>785</v>
      </c>
      <c r="D123" s="17" t="s">
        <v>401</v>
      </c>
      <c r="E123" s="39" t="n">
        <v>285</v>
      </c>
      <c r="F123" s="39" t="n">
        <v>45</v>
      </c>
      <c r="G123" s="39" t="n">
        <v>0</v>
      </c>
      <c r="H123" s="19" t="n">
        <f aca="false">E123+F123+G123</f>
        <v>330</v>
      </c>
      <c r="I123" s="30" t="s">
        <v>961</v>
      </c>
      <c r="J123" s="17" t="s">
        <v>962</v>
      </c>
      <c r="K123" s="17" t="s">
        <v>14</v>
      </c>
      <c r="L123" s="17" t="s">
        <v>963</v>
      </c>
    </row>
    <row r="124" customFormat="false" ht="41.75" hidden="false" customHeight="false" outlineLevel="0" collapsed="false">
      <c r="A124" s="17" t="s">
        <v>789</v>
      </c>
      <c r="B124" s="17" t="s">
        <v>78</v>
      </c>
      <c r="C124" s="30" t="s">
        <v>790</v>
      </c>
      <c r="D124" s="17" t="s">
        <v>401</v>
      </c>
      <c r="E124" s="39" t="n">
        <v>215</v>
      </c>
      <c r="F124" s="39" t="n">
        <v>40</v>
      </c>
      <c r="G124" s="39" t="n">
        <v>0</v>
      </c>
      <c r="H124" s="19" t="n">
        <f aca="false">E124+F124+G124</f>
        <v>255</v>
      </c>
      <c r="I124" s="30" t="s">
        <v>961</v>
      </c>
      <c r="J124" s="17" t="s">
        <v>962</v>
      </c>
      <c r="K124" s="17" t="s">
        <v>14</v>
      </c>
      <c r="L124" s="17" t="s">
        <v>963</v>
      </c>
    </row>
    <row r="125" customFormat="false" ht="41.75" hidden="false" customHeight="false" outlineLevel="0" collapsed="false">
      <c r="A125" s="17" t="s">
        <v>793</v>
      </c>
      <c r="B125" s="17" t="s">
        <v>78</v>
      </c>
      <c r="C125" s="30" t="s">
        <v>794</v>
      </c>
      <c r="D125" s="17" t="s">
        <v>345</v>
      </c>
      <c r="E125" s="39" t="n">
        <v>875</v>
      </c>
      <c r="F125" s="39" t="n">
        <v>85</v>
      </c>
      <c r="G125" s="39" t="n">
        <v>0</v>
      </c>
      <c r="H125" s="19" t="n">
        <f aca="false">E125+F125+G125</f>
        <v>960</v>
      </c>
      <c r="I125" s="30" t="s">
        <v>961</v>
      </c>
      <c r="J125" s="17" t="s">
        <v>962</v>
      </c>
      <c r="K125" s="17" t="s">
        <v>14</v>
      </c>
      <c r="L125" s="17" t="s">
        <v>963</v>
      </c>
    </row>
    <row r="126" customFormat="false" ht="41.75" hidden="false" customHeight="false" outlineLevel="0" collapsed="false">
      <c r="A126" s="17" t="s">
        <v>796</v>
      </c>
      <c r="B126" s="17" t="s">
        <v>78</v>
      </c>
      <c r="C126" s="30" t="s">
        <v>797</v>
      </c>
      <c r="D126" s="17" t="s">
        <v>321</v>
      </c>
      <c r="E126" s="39" t="n">
        <v>350</v>
      </c>
      <c r="F126" s="39" t="n">
        <v>100</v>
      </c>
      <c r="G126" s="39" t="n">
        <v>0</v>
      </c>
      <c r="H126" s="19" t="n">
        <f aca="false">E126+F126+G126</f>
        <v>450</v>
      </c>
      <c r="I126" s="30" t="s">
        <v>961</v>
      </c>
      <c r="J126" s="17" t="s">
        <v>962</v>
      </c>
      <c r="K126" s="17" t="s">
        <v>14</v>
      </c>
      <c r="L126" s="17" t="s">
        <v>963</v>
      </c>
    </row>
    <row r="127" customFormat="false" ht="41.75" hidden="false" customHeight="false" outlineLevel="0" collapsed="false">
      <c r="A127" s="17" t="s">
        <v>798</v>
      </c>
      <c r="B127" s="17" t="s">
        <v>78</v>
      </c>
      <c r="C127" s="30" t="s">
        <v>799</v>
      </c>
      <c r="D127" s="17" t="s">
        <v>345</v>
      </c>
      <c r="E127" s="39" t="n">
        <v>425</v>
      </c>
      <c r="F127" s="39" t="n">
        <v>85</v>
      </c>
      <c r="G127" s="39" t="n">
        <v>0</v>
      </c>
      <c r="H127" s="19" t="n">
        <f aca="false">E127+F127+G127</f>
        <v>510</v>
      </c>
      <c r="I127" s="30" t="s">
        <v>961</v>
      </c>
      <c r="J127" s="17" t="s">
        <v>962</v>
      </c>
      <c r="K127" s="17" t="s">
        <v>14</v>
      </c>
      <c r="L127" s="17" t="s">
        <v>963</v>
      </c>
    </row>
    <row r="128" customFormat="false" ht="41.75" hidden="false" customHeight="false" outlineLevel="0" collapsed="false">
      <c r="A128" s="17" t="s">
        <v>801</v>
      </c>
      <c r="B128" s="17" t="s">
        <v>78</v>
      </c>
      <c r="C128" s="30" t="s">
        <v>802</v>
      </c>
      <c r="D128" s="17" t="s">
        <v>357</v>
      </c>
      <c r="E128" s="39" t="n">
        <v>22</v>
      </c>
      <c r="F128" s="39" t="n">
        <v>9</v>
      </c>
      <c r="G128" s="39" t="n">
        <v>0</v>
      </c>
      <c r="H128" s="19" t="n">
        <f aca="false">E128+F128+G128</f>
        <v>31</v>
      </c>
      <c r="I128" s="30" t="s">
        <v>961</v>
      </c>
      <c r="J128" s="17" t="s">
        <v>962</v>
      </c>
      <c r="K128" s="17" t="s">
        <v>14</v>
      </c>
      <c r="L128" s="17" t="s">
        <v>963</v>
      </c>
    </row>
    <row r="129" customFormat="false" ht="41.75" hidden="false" customHeight="false" outlineLevel="0" collapsed="false">
      <c r="A129" s="17" t="s">
        <v>806</v>
      </c>
      <c r="B129" s="17" t="s">
        <v>78</v>
      </c>
      <c r="C129" s="30" t="s">
        <v>807</v>
      </c>
      <c r="D129" s="17" t="s">
        <v>401</v>
      </c>
      <c r="E129" s="39" t="n">
        <v>6</v>
      </c>
      <c r="F129" s="39" t="n">
        <v>3</v>
      </c>
      <c r="G129" s="39" t="n">
        <v>0</v>
      </c>
      <c r="H129" s="19" t="n">
        <f aca="false">E129+F129+G129</f>
        <v>9</v>
      </c>
      <c r="I129" s="30" t="s">
        <v>961</v>
      </c>
      <c r="J129" s="17" t="s">
        <v>962</v>
      </c>
      <c r="K129" s="17" t="s">
        <v>14</v>
      </c>
      <c r="L129" s="17" t="s">
        <v>963</v>
      </c>
    </row>
    <row r="130" customFormat="false" ht="41.75" hidden="false" customHeight="false" outlineLevel="0" collapsed="false">
      <c r="A130" s="17" t="s">
        <v>810</v>
      </c>
      <c r="B130" s="17" t="s">
        <v>80</v>
      </c>
      <c r="C130" s="30" t="s">
        <v>811</v>
      </c>
      <c r="D130" s="17" t="s">
        <v>345</v>
      </c>
      <c r="E130" s="39" t="n">
        <v>220</v>
      </c>
      <c r="F130" s="39" t="n">
        <v>480</v>
      </c>
      <c r="G130" s="39" t="n">
        <v>0</v>
      </c>
      <c r="H130" s="19" t="n">
        <f aca="false">E130+F130+G130</f>
        <v>700</v>
      </c>
      <c r="I130" s="30" t="s">
        <v>961</v>
      </c>
      <c r="J130" s="17" t="s">
        <v>962</v>
      </c>
      <c r="K130" s="17" t="s">
        <v>14</v>
      </c>
      <c r="L130" s="17" t="s">
        <v>963</v>
      </c>
    </row>
    <row r="131" customFormat="false" ht="41.75" hidden="false" customHeight="false" outlineLevel="0" collapsed="false">
      <c r="A131" s="17" t="s">
        <v>814</v>
      </c>
      <c r="B131" s="17" t="s">
        <v>80</v>
      </c>
      <c r="C131" s="30" t="s">
        <v>815</v>
      </c>
      <c r="D131" s="17" t="s">
        <v>345</v>
      </c>
      <c r="E131" s="39" t="n">
        <v>425</v>
      </c>
      <c r="F131" s="39" t="n">
        <v>0</v>
      </c>
      <c r="G131" s="39" t="n">
        <v>0</v>
      </c>
      <c r="H131" s="19" t="n">
        <f aca="false">E131+F131+G131</f>
        <v>425</v>
      </c>
      <c r="I131" s="30" t="s">
        <v>961</v>
      </c>
      <c r="J131" s="17" t="s">
        <v>962</v>
      </c>
      <c r="K131" s="17" t="s">
        <v>14</v>
      </c>
      <c r="L131" s="17" t="s">
        <v>963</v>
      </c>
    </row>
    <row r="132" customFormat="false" ht="41.75" hidden="false" customHeight="false" outlineLevel="0" collapsed="false">
      <c r="A132" s="17" t="s">
        <v>818</v>
      </c>
      <c r="B132" s="17" t="s">
        <v>80</v>
      </c>
      <c r="C132" s="30" t="s">
        <v>819</v>
      </c>
      <c r="D132" s="17" t="s">
        <v>345</v>
      </c>
      <c r="E132" s="39" t="n">
        <v>195</v>
      </c>
      <c r="F132" s="39" t="n">
        <v>0</v>
      </c>
      <c r="G132" s="39" t="n">
        <v>0</v>
      </c>
      <c r="H132" s="19" t="n">
        <f aca="false">E132+F132+G132</f>
        <v>195</v>
      </c>
      <c r="I132" s="30" t="s">
        <v>961</v>
      </c>
      <c r="J132" s="17" t="s">
        <v>962</v>
      </c>
      <c r="K132" s="17" t="s">
        <v>14</v>
      </c>
      <c r="L132" s="17" t="s">
        <v>963</v>
      </c>
    </row>
    <row r="133" customFormat="false" ht="41.75" hidden="false" customHeight="false" outlineLevel="0" collapsed="false">
      <c r="A133" s="17" t="s">
        <v>820</v>
      </c>
      <c r="B133" s="17" t="s">
        <v>80</v>
      </c>
      <c r="C133" s="30" t="s">
        <v>821</v>
      </c>
      <c r="D133" s="17" t="s">
        <v>345</v>
      </c>
      <c r="E133" s="39" t="n">
        <v>285</v>
      </c>
      <c r="F133" s="39" t="n">
        <v>0</v>
      </c>
      <c r="G133" s="39" t="n">
        <v>0</v>
      </c>
      <c r="H133" s="19" t="n">
        <f aca="false">E133+F133+G133</f>
        <v>285</v>
      </c>
      <c r="I133" s="30" t="s">
        <v>961</v>
      </c>
      <c r="J133" s="17" t="s">
        <v>962</v>
      </c>
      <c r="K133" s="17" t="s">
        <v>14</v>
      </c>
      <c r="L133" s="17" t="s">
        <v>963</v>
      </c>
    </row>
    <row r="134" customFormat="false" ht="41.75" hidden="false" customHeight="false" outlineLevel="0" collapsed="false">
      <c r="A134" s="17" t="s">
        <v>822</v>
      </c>
      <c r="B134" s="17" t="s">
        <v>80</v>
      </c>
      <c r="C134" s="30" t="s">
        <v>823</v>
      </c>
      <c r="D134" s="17" t="s">
        <v>345</v>
      </c>
      <c r="E134" s="39" t="n">
        <v>520</v>
      </c>
      <c r="F134" s="39" t="n">
        <v>150</v>
      </c>
      <c r="G134" s="39" t="n">
        <v>0</v>
      </c>
      <c r="H134" s="19" t="n">
        <f aca="false">E134+F134+G134</f>
        <v>670</v>
      </c>
      <c r="I134" s="30" t="s">
        <v>961</v>
      </c>
      <c r="J134" s="17" t="s">
        <v>962</v>
      </c>
      <c r="K134" s="17" t="s">
        <v>14</v>
      </c>
      <c r="L134" s="17" t="s">
        <v>963</v>
      </c>
    </row>
    <row r="135" customFormat="false" ht="41.75" hidden="false" customHeight="false" outlineLevel="0" collapsed="false">
      <c r="A135" s="17" t="s">
        <v>824</v>
      </c>
      <c r="B135" s="17" t="s">
        <v>80</v>
      </c>
      <c r="C135" s="30" t="s">
        <v>825</v>
      </c>
      <c r="D135" s="17" t="s">
        <v>345</v>
      </c>
      <c r="E135" s="39" t="n">
        <v>375</v>
      </c>
      <c r="F135" s="39" t="n">
        <v>225</v>
      </c>
      <c r="G135" s="39" t="n">
        <v>0</v>
      </c>
      <c r="H135" s="19" t="n">
        <f aca="false">E135+F135+G135</f>
        <v>600</v>
      </c>
      <c r="I135" s="30" t="s">
        <v>961</v>
      </c>
      <c r="J135" s="17" t="s">
        <v>962</v>
      </c>
      <c r="K135" s="17" t="s">
        <v>14</v>
      </c>
      <c r="L135" s="17" t="s">
        <v>963</v>
      </c>
    </row>
    <row r="136" customFormat="false" ht="41.75" hidden="false" customHeight="false" outlineLevel="0" collapsed="false">
      <c r="A136" s="17" t="s">
        <v>827</v>
      </c>
      <c r="B136" s="17" t="s">
        <v>80</v>
      </c>
      <c r="C136" s="30" t="s">
        <v>828</v>
      </c>
      <c r="D136" s="17" t="s">
        <v>345</v>
      </c>
      <c r="E136" s="39" t="n">
        <v>925</v>
      </c>
      <c r="F136" s="39" t="n">
        <v>350</v>
      </c>
      <c r="G136" s="39" t="n">
        <v>0</v>
      </c>
      <c r="H136" s="19" t="n">
        <f aca="false">E136+F136+G136</f>
        <v>1275</v>
      </c>
      <c r="I136" s="30" t="s">
        <v>961</v>
      </c>
      <c r="J136" s="17" t="s">
        <v>962</v>
      </c>
      <c r="K136" s="17" t="s">
        <v>14</v>
      </c>
      <c r="L136" s="17" t="s">
        <v>963</v>
      </c>
    </row>
    <row r="137" customFormat="false" ht="41.75" hidden="false" customHeight="false" outlineLevel="0" collapsed="false">
      <c r="A137" s="17" t="s">
        <v>832</v>
      </c>
      <c r="B137" s="17" t="s">
        <v>80</v>
      </c>
      <c r="C137" s="30" t="s">
        <v>833</v>
      </c>
      <c r="D137" s="17" t="s">
        <v>321</v>
      </c>
      <c r="E137" s="39" t="n">
        <v>190</v>
      </c>
      <c r="F137" s="39" t="n">
        <v>0</v>
      </c>
      <c r="G137" s="39" t="n">
        <v>0</v>
      </c>
      <c r="H137" s="19" t="n">
        <f aca="false">E137+F137+G137</f>
        <v>190</v>
      </c>
      <c r="I137" s="30" t="s">
        <v>961</v>
      </c>
      <c r="J137" s="17" t="s">
        <v>962</v>
      </c>
      <c r="K137" s="17" t="s">
        <v>14</v>
      </c>
      <c r="L137" s="17" t="s">
        <v>963</v>
      </c>
    </row>
    <row r="138" customFormat="false" ht="41.75" hidden="false" customHeight="false" outlineLevel="0" collapsed="false">
      <c r="A138" s="17" t="s">
        <v>836</v>
      </c>
      <c r="B138" s="17" t="s">
        <v>80</v>
      </c>
      <c r="C138" s="30" t="s">
        <v>837</v>
      </c>
      <c r="D138" s="17" t="s">
        <v>345</v>
      </c>
      <c r="E138" s="39" t="n">
        <v>0</v>
      </c>
      <c r="F138" s="39" t="n">
        <v>145</v>
      </c>
      <c r="G138" s="39" t="n">
        <v>0</v>
      </c>
      <c r="H138" s="19" t="n">
        <f aca="false">E138+F138+G138</f>
        <v>145</v>
      </c>
      <c r="I138" s="30" t="s">
        <v>961</v>
      </c>
      <c r="J138" s="17" t="s">
        <v>962</v>
      </c>
      <c r="K138" s="17" t="s">
        <v>14</v>
      </c>
      <c r="L138" s="17" t="s">
        <v>963</v>
      </c>
    </row>
    <row r="139" customFormat="false" ht="41.75" hidden="false" customHeight="false" outlineLevel="0" collapsed="false">
      <c r="A139" s="17" t="s">
        <v>840</v>
      </c>
      <c r="B139" s="17" t="s">
        <v>80</v>
      </c>
      <c r="C139" s="30" t="s">
        <v>841</v>
      </c>
      <c r="D139" s="17" t="s">
        <v>321</v>
      </c>
      <c r="E139" s="39" t="n">
        <v>0</v>
      </c>
      <c r="F139" s="39" t="n">
        <v>0</v>
      </c>
      <c r="G139" s="39" t="n">
        <v>275</v>
      </c>
      <c r="H139" s="19" t="n">
        <f aca="false">E139+F139+G139</f>
        <v>275</v>
      </c>
      <c r="I139" s="30" t="s">
        <v>961</v>
      </c>
      <c r="J139" s="17" t="s">
        <v>962</v>
      </c>
      <c r="K139" s="17" t="s">
        <v>14</v>
      </c>
      <c r="L139" s="17" t="s">
        <v>963</v>
      </c>
    </row>
    <row r="140" customFormat="false" ht="41.75" hidden="false" customHeight="false" outlineLevel="0" collapsed="false">
      <c r="A140" s="17" t="s">
        <v>842</v>
      </c>
      <c r="B140" s="17" t="s">
        <v>82</v>
      </c>
      <c r="C140" s="30" t="s">
        <v>843</v>
      </c>
      <c r="D140" s="17" t="s">
        <v>345</v>
      </c>
      <c r="E140" s="39" t="n">
        <v>4650</v>
      </c>
      <c r="F140" s="39" t="n">
        <v>0</v>
      </c>
      <c r="G140" s="39" t="n">
        <v>0</v>
      </c>
      <c r="H140" s="19" t="n">
        <f aca="false">E140+F140+G140</f>
        <v>4650</v>
      </c>
      <c r="I140" s="30" t="s">
        <v>961</v>
      </c>
      <c r="J140" s="17" t="s">
        <v>962</v>
      </c>
      <c r="K140" s="17" t="s">
        <v>14</v>
      </c>
      <c r="L140" s="17" t="s">
        <v>963</v>
      </c>
    </row>
    <row r="141" customFormat="false" ht="41.75" hidden="false" customHeight="false" outlineLevel="0" collapsed="false">
      <c r="A141" s="17" t="s">
        <v>847</v>
      </c>
      <c r="B141" s="17" t="s">
        <v>82</v>
      </c>
      <c r="C141" s="30" t="s">
        <v>848</v>
      </c>
      <c r="D141" s="17" t="s">
        <v>357</v>
      </c>
      <c r="E141" s="39" t="n">
        <v>1.35</v>
      </c>
      <c r="F141" s="39" t="n">
        <v>1.1</v>
      </c>
      <c r="G141" s="39" t="n">
        <v>0</v>
      </c>
      <c r="H141" s="19" t="n">
        <f aca="false">E141+F141+G141</f>
        <v>2.45</v>
      </c>
      <c r="I141" s="30" t="s">
        <v>961</v>
      </c>
      <c r="J141" s="17" t="s">
        <v>962</v>
      </c>
      <c r="K141" s="17" t="s">
        <v>14</v>
      </c>
      <c r="L141" s="17" t="s">
        <v>963</v>
      </c>
    </row>
    <row r="142" customFormat="false" ht="41.75" hidden="false" customHeight="false" outlineLevel="0" collapsed="false">
      <c r="A142" s="17" t="s">
        <v>850</v>
      </c>
      <c r="B142" s="17" t="s">
        <v>82</v>
      </c>
      <c r="C142" s="30" t="s">
        <v>851</v>
      </c>
      <c r="D142" s="17" t="s">
        <v>321</v>
      </c>
      <c r="E142" s="39" t="n">
        <v>650</v>
      </c>
      <c r="F142" s="39" t="n">
        <v>2600</v>
      </c>
      <c r="G142" s="39" t="n">
        <v>0</v>
      </c>
      <c r="H142" s="19" t="n">
        <f aca="false">E142+F142+G142</f>
        <v>3250</v>
      </c>
      <c r="I142" s="30" t="s">
        <v>961</v>
      </c>
      <c r="J142" s="17" t="s">
        <v>962</v>
      </c>
      <c r="K142" s="17" t="s">
        <v>14</v>
      </c>
      <c r="L142" s="17" t="s">
        <v>963</v>
      </c>
    </row>
    <row r="143" customFormat="false" ht="41.75" hidden="false" customHeight="false" outlineLevel="0" collapsed="false">
      <c r="A143" s="17" t="s">
        <v>853</v>
      </c>
      <c r="B143" s="17" t="s">
        <v>82</v>
      </c>
      <c r="C143" s="30" t="s">
        <v>854</v>
      </c>
      <c r="D143" s="17" t="s">
        <v>345</v>
      </c>
      <c r="E143" s="39" t="n">
        <v>95</v>
      </c>
      <c r="F143" s="39" t="n">
        <v>125</v>
      </c>
      <c r="G143" s="39" t="n">
        <v>0</v>
      </c>
      <c r="H143" s="19" t="n">
        <f aca="false">E143+F143+G143</f>
        <v>220</v>
      </c>
      <c r="I143" s="30" t="s">
        <v>961</v>
      </c>
      <c r="J143" s="17" t="s">
        <v>962</v>
      </c>
      <c r="K143" s="17" t="s">
        <v>14</v>
      </c>
      <c r="L143" s="17" t="s">
        <v>963</v>
      </c>
    </row>
    <row r="144" customFormat="false" ht="41.75" hidden="false" customHeight="false" outlineLevel="0" collapsed="false">
      <c r="A144" s="17" t="s">
        <v>856</v>
      </c>
      <c r="B144" s="17" t="s">
        <v>82</v>
      </c>
      <c r="C144" s="30" t="s">
        <v>857</v>
      </c>
      <c r="D144" s="17" t="s">
        <v>345</v>
      </c>
      <c r="E144" s="39" t="n">
        <v>55</v>
      </c>
      <c r="F144" s="39" t="n">
        <v>110</v>
      </c>
      <c r="G144" s="39" t="n">
        <v>0</v>
      </c>
      <c r="H144" s="19" t="n">
        <f aca="false">E144+F144+G144</f>
        <v>165</v>
      </c>
      <c r="I144" s="30" t="s">
        <v>961</v>
      </c>
      <c r="J144" s="17" t="s">
        <v>962</v>
      </c>
      <c r="K144" s="17" t="s">
        <v>14</v>
      </c>
      <c r="L144" s="17" t="s">
        <v>963</v>
      </c>
    </row>
    <row r="145" customFormat="false" ht="41.75" hidden="false" customHeight="false" outlineLevel="0" collapsed="false">
      <c r="A145" s="17" t="s">
        <v>858</v>
      </c>
      <c r="B145" s="17" t="s">
        <v>82</v>
      </c>
      <c r="C145" s="30" t="s">
        <v>859</v>
      </c>
      <c r="D145" s="17" t="s">
        <v>345</v>
      </c>
      <c r="E145" s="39" t="n">
        <v>65</v>
      </c>
      <c r="F145" s="39" t="n">
        <v>125</v>
      </c>
      <c r="G145" s="39" t="n">
        <v>0</v>
      </c>
      <c r="H145" s="19" t="n">
        <f aca="false">E145+F145+G145</f>
        <v>190</v>
      </c>
      <c r="I145" s="30" t="s">
        <v>961</v>
      </c>
      <c r="J145" s="17" t="s">
        <v>962</v>
      </c>
      <c r="K145" s="17" t="s">
        <v>14</v>
      </c>
      <c r="L145" s="17" t="s">
        <v>963</v>
      </c>
    </row>
    <row r="146" customFormat="false" ht="41.75" hidden="false" customHeight="false" outlineLevel="0" collapsed="false">
      <c r="A146" s="17" t="s">
        <v>861</v>
      </c>
      <c r="B146" s="17" t="s">
        <v>82</v>
      </c>
      <c r="C146" s="30" t="s">
        <v>862</v>
      </c>
      <c r="D146" s="17" t="s">
        <v>321</v>
      </c>
      <c r="E146" s="39" t="n">
        <v>0</v>
      </c>
      <c r="F146" s="39" t="n">
        <v>0</v>
      </c>
      <c r="G146" s="39" t="n">
        <v>175</v>
      </c>
      <c r="H146" s="19" t="n">
        <f aca="false">E146+F146+G146</f>
        <v>175</v>
      </c>
      <c r="I146" s="30" t="s">
        <v>961</v>
      </c>
      <c r="J146" s="17" t="s">
        <v>962</v>
      </c>
      <c r="K146" s="17" t="s">
        <v>14</v>
      </c>
      <c r="L146" s="17" t="s">
        <v>963</v>
      </c>
    </row>
    <row r="147" customFormat="false" ht="41.75" hidden="false" customHeight="false" outlineLevel="0" collapsed="false">
      <c r="A147" s="17" t="s">
        <v>863</v>
      </c>
      <c r="B147" s="17" t="s">
        <v>84</v>
      </c>
      <c r="C147" s="30" t="s">
        <v>864</v>
      </c>
      <c r="D147" s="17" t="s">
        <v>321</v>
      </c>
      <c r="E147" s="39" t="n">
        <v>1750</v>
      </c>
      <c r="F147" s="39" t="n">
        <v>1250</v>
      </c>
      <c r="G147" s="39" t="n">
        <v>0</v>
      </c>
      <c r="H147" s="19" t="n">
        <f aca="false">E147+F147+G147</f>
        <v>3000</v>
      </c>
      <c r="I147" s="30" t="s">
        <v>961</v>
      </c>
      <c r="J147" s="17" t="s">
        <v>962</v>
      </c>
      <c r="K147" s="17" t="s">
        <v>14</v>
      </c>
      <c r="L147" s="17" t="s">
        <v>963</v>
      </c>
    </row>
    <row r="148" customFormat="false" ht="41.75" hidden="false" customHeight="false" outlineLevel="0" collapsed="false">
      <c r="A148" s="17" t="s">
        <v>867</v>
      </c>
      <c r="B148" s="17" t="s">
        <v>84</v>
      </c>
      <c r="C148" s="30" t="s">
        <v>868</v>
      </c>
      <c r="D148" s="17" t="s">
        <v>357</v>
      </c>
      <c r="E148" s="39" t="n">
        <v>1.55</v>
      </c>
      <c r="F148" s="39" t="n">
        <v>2.1</v>
      </c>
      <c r="G148" s="39" t="n">
        <v>0</v>
      </c>
      <c r="H148" s="19" t="n">
        <f aca="false">E148+F148+G148</f>
        <v>3.65</v>
      </c>
      <c r="I148" s="30" t="s">
        <v>961</v>
      </c>
      <c r="J148" s="17" t="s">
        <v>962</v>
      </c>
      <c r="K148" s="17" t="s">
        <v>14</v>
      </c>
      <c r="L148" s="17" t="s">
        <v>963</v>
      </c>
    </row>
    <row r="149" customFormat="false" ht="41.75" hidden="false" customHeight="false" outlineLevel="0" collapsed="false">
      <c r="A149" s="17" t="s">
        <v>869</v>
      </c>
      <c r="B149" s="17" t="s">
        <v>84</v>
      </c>
      <c r="C149" s="30" t="s">
        <v>870</v>
      </c>
      <c r="D149" s="17" t="s">
        <v>357</v>
      </c>
      <c r="E149" s="39" t="n">
        <v>0.45</v>
      </c>
      <c r="F149" s="39" t="n">
        <v>0.65</v>
      </c>
      <c r="G149" s="39" t="n">
        <v>0</v>
      </c>
      <c r="H149" s="19" t="n">
        <f aca="false">E149+F149+G149</f>
        <v>1.1</v>
      </c>
      <c r="I149" s="30" t="s">
        <v>961</v>
      </c>
      <c r="J149" s="17" t="s">
        <v>962</v>
      </c>
      <c r="K149" s="17" t="s">
        <v>14</v>
      </c>
      <c r="L149" s="17" t="s">
        <v>963</v>
      </c>
    </row>
    <row r="150" customFormat="false" ht="41.75" hidden="false" customHeight="false" outlineLevel="0" collapsed="false">
      <c r="A150" s="17" t="s">
        <v>872</v>
      </c>
      <c r="B150" s="17" t="s">
        <v>84</v>
      </c>
      <c r="C150" s="30" t="s">
        <v>873</v>
      </c>
      <c r="D150" s="17" t="s">
        <v>345</v>
      </c>
      <c r="E150" s="39" t="n">
        <v>7</v>
      </c>
      <c r="F150" s="39" t="n">
        <v>18</v>
      </c>
      <c r="G150" s="39" t="n">
        <v>0</v>
      </c>
      <c r="H150" s="19" t="n">
        <f aca="false">E150+F150+G150</f>
        <v>25</v>
      </c>
      <c r="I150" s="30" t="s">
        <v>961</v>
      </c>
      <c r="J150" s="17" t="s">
        <v>962</v>
      </c>
      <c r="K150" s="17" t="s">
        <v>14</v>
      </c>
      <c r="L150" s="17" t="s">
        <v>963</v>
      </c>
    </row>
    <row r="151" customFormat="false" ht="41.75" hidden="false" customHeight="false" outlineLevel="0" collapsed="false">
      <c r="A151" s="17" t="s">
        <v>876</v>
      </c>
      <c r="B151" s="17" t="s">
        <v>84</v>
      </c>
      <c r="C151" s="30" t="s">
        <v>877</v>
      </c>
      <c r="D151" s="17" t="s">
        <v>345</v>
      </c>
      <c r="E151" s="39" t="n">
        <v>95</v>
      </c>
      <c r="F151" s="39" t="n">
        <v>125</v>
      </c>
      <c r="G151" s="39" t="n">
        <v>0</v>
      </c>
      <c r="H151" s="19" t="n">
        <f aca="false">E151+F151+G151</f>
        <v>220</v>
      </c>
      <c r="I151" s="30" t="s">
        <v>961</v>
      </c>
      <c r="J151" s="17" t="s">
        <v>962</v>
      </c>
      <c r="K151" s="17" t="s">
        <v>14</v>
      </c>
      <c r="L151" s="17" t="s">
        <v>963</v>
      </c>
    </row>
    <row r="152" customFormat="false" ht="41.75" hidden="false" customHeight="false" outlineLevel="0" collapsed="false">
      <c r="A152" s="17" t="s">
        <v>879</v>
      </c>
      <c r="B152" s="17" t="s">
        <v>84</v>
      </c>
      <c r="C152" s="30" t="s">
        <v>880</v>
      </c>
      <c r="D152" s="17" t="s">
        <v>345</v>
      </c>
      <c r="E152" s="39" t="n">
        <v>48</v>
      </c>
      <c r="F152" s="39" t="n">
        <v>30</v>
      </c>
      <c r="G152" s="39" t="n">
        <v>0</v>
      </c>
      <c r="H152" s="19" t="n">
        <f aca="false">E152+F152+G152</f>
        <v>78</v>
      </c>
      <c r="I152" s="30" t="s">
        <v>961</v>
      </c>
      <c r="J152" s="17" t="s">
        <v>962</v>
      </c>
      <c r="K152" s="17" t="s">
        <v>14</v>
      </c>
      <c r="L152" s="17" t="s">
        <v>963</v>
      </c>
    </row>
    <row r="153" customFormat="false" ht="41.75" hidden="false" customHeight="false" outlineLevel="0" collapsed="false">
      <c r="A153" s="17" t="s">
        <v>882</v>
      </c>
      <c r="B153" s="17" t="s">
        <v>84</v>
      </c>
      <c r="C153" s="30" t="s">
        <v>883</v>
      </c>
      <c r="D153" s="17" t="s">
        <v>345</v>
      </c>
      <c r="E153" s="39" t="n">
        <v>24</v>
      </c>
      <c r="F153" s="39" t="n">
        <v>40</v>
      </c>
      <c r="G153" s="39" t="n">
        <v>0</v>
      </c>
      <c r="H153" s="19" t="n">
        <f aca="false">E153+F153+G153</f>
        <v>64</v>
      </c>
      <c r="I153" s="30" t="s">
        <v>961</v>
      </c>
      <c r="J153" s="17" t="s">
        <v>962</v>
      </c>
      <c r="K153" s="17" t="s">
        <v>14</v>
      </c>
      <c r="L153" s="17" t="s">
        <v>963</v>
      </c>
    </row>
    <row r="154" customFormat="false" ht="41.75" hidden="false" customHeight="false" outlineLevel="0" collapsed="false">
      <c r="A154" s="17" t="s">
        <v>886</v>
      </c>
      <c r="B154" s="17" t="s">
        <v>84</v>
      </c>
      <c r="C154" s="30" t="s">
        <v>887</v>
      </c>
      <c r="D154" s="17" t="s">
        <v>345</v>
      </c>
      <c r="E154" s="39" t="n">
        <v>120</v>
      </c>
      <c r="F154" s="39" t="n">
        <v>55</v>
      </c>
      <c r="G154" s="39" t="n">
        <v>0</v>
      </c>
      <c r="H154" s="19" t="n">
        <f aca="false">E154+F154+G154</f>
        <v>175</v>
      </c>
      <c r="I154" s="30" t="s">
        <v>961</v>
      </c>
      <c r="J154" s="17" t="s">
        <v>962</v>
      </c>
      <c r="K154" s="17" t="s">
        <v>14</v>
      </c>
      <c r="L154" s="17" t="s">
        <v>963</v>
      </c>
    </row>
    <row r="155" customFormat="false" ht="41.75" hidden="false" customHeight="false" outlineLevel="0" collapsed="false">
      <c r="A155" s="17" t="s">
        <v>890</v>
      </c>
      <c r="B155" s="17" t="s">
        <v>84</v>
      </c>
      <c r="C155" s="30" t="s">
        <v>891</v>
      </c>
      <c r="D155" s="17" t="s">
        <v>345</v>
      </c>
      <c r="E155" s="39" t="n">
        <v>175</v>
      </c>
      <c r="F155" s="39" t="n">
        <v>85</v>
      </c>
      <c r="G155" s="39" t="n">
        <v>0</v>
      </c>
      <c r="H155" s="19" t="n">
        <f aca="false">E155+F155+G155</f>
        <v>260</v>
      </c>
      <c r="I155" s="30" t="s">
        <v>961</v>
      </c>
      <c r="J155" s="17" t="s">
        <v>962</v>
      </c>
      <c r="K155" s="17" t="s">
        <v>14</v>
      </c>
      <c r="L155" s="17" t="s">
        <v>963</v>
      </c>
    </row>
    <row r="156" customFormat="false" ht="41.75" hidden="false" customHeight="false" outlineLevel="0" collapsed="false">
      <c r="A156" s="17" t="s">
        <v>893</v>
      </c>
      <c r="B156" s="17" t="s">
        <v>84</v>
      </c>
      <c r="C156" s="30" t="s">
        <v>894</v>
      </c>
      <c r="D156" s="17" t="s">
        <v>345</v>
      </c>
      <c r="E156" s="39" t="n">
        <v>85</v>
      </c>
      <c r="F156" s="39" t="n">
        <v>45</v>
      </c>
      <c r="G156" s="39" t="n">
        <v>0</v>
      </c>
      <c r="H156" s="19" t="n">
        <f aca="false">E156+F156+G156</f>
        <v>130</v>
      </c>
      <c r="I156" s="30" t="s">
        <v>961</v>
      </c>
      <c r="J156" s="17" t="s">
        <v>962</v>
      </c>
      <c r="K156" s="17" t="s">
        <v>14</v>
      </c>
      <c r="L156" s="17" t="s">
        <v>963</v>
      </c>
    </row>
    <row r="157" customFormat="false" ht="41.75" hidden="false" customHeight="false" outlineLevel="0" collapsed="false">
      <c r="A157" s="17" t="s">
        <v>895</v>
      </c>
      <c r="B157" s="17" t="s">
        <v>84</v>
      </c>
      <c r="C157" s="30" t="s">
        <v>896</v>
      </c>
      <c r="D157" s="17" t="s">
        <v>345</v>
      </c>
      <c r="E157" s="39" t="n">
        <v>55</v>
      </c>
      <c r="F157" s="39" t="n">
        <v>50</v>
      </c>
      <c r="G157" s="39" t="n">
        <v>0</v>
      </c>
      <c r="H157" s="19" t="n">
        <f aca="false">E157+F157+G157</f>
        <v>105</v>
      </c>
      <c r="I157" s="30" t="s">
        <v>961</v>
      </c>
      <c r="J157" s="17" t="s">
        <v>962</v>
      </c>
      <c r="K157" s="17" t="s">
        <v>14</v>
      </c>
      <c r="L157" s="17" t="s">
        <v>963</v>
      </c>
    </row>
    <row r="158" customFormat="false" ht="41.75" hidden="false" customHeight="false" outlineLevel="0" collapsed="false">
      <c r="A158" s="17" t="s">
        <v>898</v>
      </c>
      <c r="B158" s="17" t="s">
        <v>84</v>
      </c>
      <c r="C158" s="30" t="s">
        <v>899</v>
      </c>
      <c r="D158" s="17" t="s">
        <v>321</v>
      </c>
      <c r="E158" s="39" t="n">
        <v>225</v>
      </c>
      <c r="F158" s="39" t="n">
        <v>375</v>
      </c>
      <c r="G158" s="39" t="n">
        <v>0</v>
      </c>
      <c r="H158" s="19" t="n">
        <f aca="false">E158+F158+G158</f>
        <v>600</v>
      </c>
      <c r="I158" s="30" t="s">
        <v>961</v>
      </c>
      <c r="J158" s="17" t="s">
        <v>962</v>
      </c>
      <c r="K158" s="17" t="s">
        <v>14</v>
      </c>
      <c r="L158" s="17" t="s">
        <v>963</v>
      </c>
    </row>
    <row r="159" customFormat="false" ht="41.75" hidden="false" customHeight="false" outlineLevel="0" collapsed="false">
      <c r="A159" s="17" t="s">
        <v>900</v>
      </c>
      <c r="B159" s="17" t="s">
        <v>84</v>
      </c>
      <c r="C159" s="30" t="s">
        <v>901</v>
      </c>
      <c r="D159" s="17" t="s">
        <v>321</v>
      </c>
      <c r="E159" s="39" t="n">
        <v>0</v>
      </c>
      <c r="F159" s="39" t="n">
        <v>0</v>
      </c>
      <c r="G159" s="39" t="n">
        <v>225</v>
      </c>
      <c r="H159" s="19" t="n">
        <f aca="false">E159+F159+G159</f>
        <v>225</v>
      </c>
      <c r="I159" s="30" t="s">
        <v>961</v>
      </c>
      <c r="J159" s="17" t="s">
        <v>962</v>
      </c>
      <c r="K159" s="17" t="s">
        <v>14</v>
      </c>
      <c r="L159" s="17" t="s">
        <v>963</v>
      </c>
    </row>
    <row r="160" customFormat="false" ht="41.75" hidden="false" customHeight="false" outlineLevel="0" collapsed="false">
      <c r="A160" s="17" t="s">
        <v>902</v>
      </c>
      <c r="B160" s="17" t="s">
        <v>86</v>
      </c>
      <c r="C160" s="30" t="s">
        <v>903</v>
      </c>
      <c r="D160" s="17" t="s">
        <v>357</v>
      </c>
      <c r="E160" s="39" t="n">
        <v>3.35</v>
      </c>
      <c r="F160" s="39" t="n">
        <v>3.9</v>
      </c>
      <c r="G160" s="39" t="n">
        <v>0</v>
      </c>
      <c r="H160" s="19" t="n">
        <f aca="false">E160+F160+G160</f>
        <v>7.25</v>
      </c>
      <c r="I160" s="30" t="s">
        <v>961</v>
      </c>
      <c r="J160" s="17" t="s">
        <v>962</v>
      </c>
      <c r="K160" s="17" t="s">
        <v>14</v>
      </c>
      <c r="L160" s="17" t="s">
        <v>963</v>
      </c>
    </row>
    <row r="161" customFormat="false" ht="41.75" hidden="false" customHeight="false" outlineLevel="0" collapsed="false">
      <c r="A161" s="17" t="s">
        <v>909</v>
      </c>
      <c r="B161" s="17" t="s">
        <v>86</v>
      </c>
      <c r="C161" s="30" t="s">
        <v>910</v>
      </c>
      <c r="D161" s="17" t="s">
        <v>357</v>
      </c>
      <c r="E161" s="39" t="n">
        <v>3.35</v>
      </c>
      <c r="F161" s="39" t="n">
        <v>3.9</v>
      </c>
      <c r="G161" s="39" t="n">
        <v>0</v>
      </c>
      <c r="H161" s="19" t="n">
        <f aca="false">E161+F161+G161</f>
        <v>7.25</v>
      </c>
      <c r="I161" s="30" t="s">
        <v>961</v>
      </c>
      <c r="J161" s="17" t="s">
        <v>962</v>
      </c>
      <c r="K161" s="17" t="s">
        <v>14</v>
      </c>
      <c r="L161" s="17" t="s">
        <v>963</v>
      </c>
    </row>
    <row r="162" customFormat="false" ht="41.75" hidden="false" customHeight="false" outlineLevel="0" collapsed="false">
      <c r="A162" s="17" t="s">
        <v>913</v>
      </c>
      <c r="B162" s="17" t="s">
        <v>86</v>
      </c>
      <c r="C162" s="30" t="s">
        <v>914</v>
      </c>
      <c r="D162" s="17" t="s">
        <v>357</v>
      </c>
      <c r="E162" s="39" t="n">
        <v>3.35</v>
      </c>
      <c r="F162" s="39" t="n">
        <v>3.9</v>
      </c>
      <c r="G162" s="39" t="n">
        <v>0</v>
      </c>
      <c r="H162" s="19" t="n">
        <f aca="false">E162+F162+G162</f>
        <v>7.25</v>
      </c>
      <c r="I162" s="30" t="s">
        <v>961</v>
      </c>
      <c r="J162" s="17" t="s">
        <v>962</v>
      </c>
      <c r="K162" s="17" t="s">
        <v>14</v>
      </c>
      <c r="L162" s="17" t="s">
        <v>963</v>
      </c>
    </row>
    <row r="163" customFormat="false" ht="41.75" hidden="false" customHeight="false" outlineLevel="0" collapsed="false">
      <c r="A163" s="17" t="s">
        <v>916</v>
      </c>
      <c r="B163" s="17" t="s">
        <v>86</v>
      </c>
      <c r="C163" s="30" t="s">
        <v>917</v>
      </c>
      <c r="D163" s="17" t="s">
        <v>321</v>
      </c>
      <c r="E163" s="39" t="n">
        <v>0</v>
      </c>
      <c r="F163" s="39" t="n">
        <v>0</v>
      </c>
      <c r="G163" s="39" t="n">
        <v>1200</v>
      </c>
      <c r="H163" s="19" t="n">
        <f aca="false">E163+F163+G163</f>
        <v>1200</v>
      </c>
      <c r="I163" s="30" t="s">
        <v>961</v>
      </c>
      <c r="J163" s="17" t="s">
        <v>962</v>
      </c>
      <c r="K163" s="17" t="s">
        <v>14</v>
      </c>
      <c r="L163" s="17" t="s">
        <v>963</v>
      </c>
    </row>
    <row r="164" customFormat="false" ht="41.75" hidden="false" customHeight="false" outlineLevel="0" collapsed="false">
      <c r="A164" s="17" t="s">
        <v>919</v>
      </c>
      <c r="B164" s="17" t="s">
        <v>86</v>
      </c>
      <c r="C164" s="30" t="s">
        <v>920</v>
      </c>
      <c r="D164" s="17" t="s">
        <v>345</v>
      </c>
      <c r="E164" s="39" t="n">
        <v>28</v>
      </c>
      <c r="F164" s="39" t="n">
        <v>15</v>
      </c>
      <c r="G164" s="39" t="n">
        <v>0</v>
      </c>
      <c r="H164" s="19" t="n">
        <f aca="false">E164+F164+G164</f>
        <v>43</v>
      </c>
      <c r="I164" s="30" t="s">
        <v>961</v>
      </c>
      <c r="J164" s="17" t="s">
        <v>962</v>
      </c>
      <c r="K164" s="17" t="s">
        <v>14</v>
      </c>
      <c r="L164" s="17" t="s">
        <v>963</v>
      </c>
    </row>
    <row r="165" customFormat="false" ht="41.75" hidden="false" customHeight="false" outlineLevel="0" collapsed="false">
      <c r="A165" s="17" t="s">
        <v>923</v>
      </c>
      <c r="B165" s="17" t="s">
        <v>86</v>
      </c>
      <c r="C165" s="30" t="s">
        <v>924</v>
      </c>
      <c r="D165" s="17" t="s">
        <v>357</v>
      </c>
      <c r="E165" s="39" t="n">
        <v>0.55</v>
      </c>
      <c r="F165" s="39" t="n">
        <v>0.45</v>
      </c>
      <c r="G165" s="39" t="n">
        <v>0</v>
      </c>
      <c r="H165" s="19" t="n">
        <f aca="false">E165+F165+G165</f>
        <v>1</v>
      </c>
      <c r="I165" s="30" t="s">
        <v>961</v>
      </c>
      <c r="J165" s="17" t="s">
        <v>962</v>
      </c>
      <c r="K165" s="17" t="s">
        <v>14</v>
      </c>
      <c r="L165" s="17" t="s">
        <v>963</v>
      </c>
    </row>
    <row r="166" customFormat="false" ht="41.75" hidden="false" customHeight="false" outlineLevel="0" collapsed="false">
      <c r="A166" s="17" t="s">
        <v>927</v>
      </c>
      <c r="B166" s="17" t="s">
        <v>86</v>
      </c>
      <c r="C166" s="30" t="s">
        <v>928</v>
      </c>
      <c r="D166" s="17" t="s">
        <v>345</v>
      </c>
      <c r="E166" s="39" t="n">
        <v>275</v>
      </c>
      <c r="F166" s="39" t="n">
        <v>125</v>
      </c>
      <c r="G166" s="39" t="n">
        <v>0</v>
      </c>
      <c r="H166" s="19" t="n">
        <f aca="false">E166+F166+G166</f>
        <v>400</v>
      </c>
      <c r="I166" s="30" t="s">
        <v>961</v>
      </c>
      <c r="J166" s="17" t="s">
        <v>962</v>
      </c>
      <c r="K166" s="17" t="s">
        <v>14</v>
      </c>
      <c r="L166" s="17" t="s">
        <v>963</v>
      </c>
    </row>
    <row r="167" customFormat="false" ht="41.75" hidden="false" customHeight="false" outlineLevel="0" collapsed="false">
      <c r="A167" s="17" t="s">
        <v>931</v>
      </c>
      <c r="B167" s="17" t="s">
        <v>86</v>
      </c>
      <c r="C167" s="30" t="s">
        <v>932</v>
      </c>
      <c r="D167" s="17" t="s">
        <v>357</v>
      </c>
      <c r="E167" s="39" t="n">
        <v>0.55</v>
      </c>
      <c r="F167" s="39" t="n">
        <v>0.3</v>
      </c>
      <c r="G167" s="39" t="n">
        <v>0</v>
      </c>
      <c r="H167" s="19" t="n">
        <f aca="false">E167+F167+G167</f>
        <v>0.85</v>
      </c>
      <c r="I167" s="30" t="s">
        <v>961</v>
      </c>
      <c r="J167" s="17" t="s">
        <v>962</v>
      </c>
      <c r="K167" s="17" t="s">
        <v>14</v>
      </c>
      <c r="L167" s="17" t="s">
        <v>963</v>
      </c>
    </row>
    <row r="168" customFormat="false" ht="41.75" hidden="false" customHeight="false" outlineLevel="0" collapsed="false">
      <c r="A168" s="17" t="s">
        <v>935</v>
      </c>
      <c r="B168" s="17" t="s">
        <v>86</v>
      </c>
      <c r="C168" s="30" t="s">
        <v>936</v>
      </c>
      <c r="D168" s="17" t="s">
        <v>357</v>
      </c>
      <c r="E168" s="39" t="n">
        <v>0.08</v>
      </c>
      <c r="F168" s="39" t="n">
        <v>0.06</v>
      </c>
      <c r="G168" s="39" t="n">
        <v>0</v>
      </c>
      <c r="H168" s="19" t="n">
        <f aca="false">E168+F168+G168</f>
        <v>0.14</v>
      </c>
      <c r="I168" s="30" t="s">
        <v>961</v>
      </c>
      <c r="J168" s="17" t="s">
        <v>962</v>
      </c>
      <c r="K168" s="17" t="s">
        <v>14</v>
      </c>
      <c r="L168" s="17" t="s">
        <v>963</v>
      </c>
    </row>
    <row r="169" customFormat="false" ht="41.75" hidden="false" customHeight="false" outlineLevel="0" collapsed="false">
      <c r="A169" s="17" t="s">
        <v>939</v>
      </c>
      <c r="B169" s="17" t="s">
        <v>88</v>
      </c>
      <c r="C169" s="30" t="s">
        <v>940</v>
      </c>
      <c r="D169" s="17" t="s">
        <v>401</v>
      </c>
      <c r="E169" s="39" t="n">
        <v>0</v>
      </c>
      <c r="F169" s="39" t="n">
        <v>0</v>
      </c>
      <c r="G169" s="39" t="n">
        <v>14</v>
      </c>
      <c r="H169" s="19" t="n">
        <f aca="false">E169+F169+G169</f>
        <v>14</v>
      </c>
      <c r="I169" s="30" t="s">
        <v>961</v>
      </c>
      <c r="J169" s="17" t="s">
        <v>962</v>
      </c>
      <c r="K169" s="17" t="s">
        <v>14</v>
      </c>
      <c r="L169" s="17" t="s">
        <v>963</v>
      </c>
    </row>
    <row r="170" customFormat="false" ht="41.75" hidden="false" customHeight="false" outlineLevel="0" collapsed="false">
      <c r="A170" s="17" t="s">
        <v>943</v>
      </c>
      <c r="B170" s="17" t="s">
        <v>88</v>
      </c>
      <c r="C170" s="30" t="s">
        <v>944</v>
      </c>
      <c r="D170" s="17" t="s">
        <v>401</v>
      </c>
      <c r="E170" s="39" t="n">
        <v>0</v>
      </c>
      <c r="F170" s="39" t="n">
        <v>0</v>
      </c>
      <c r="G170" s="39" t="n">
        <v>26</v>
      </c>
      <c r="H170" s="19" t="n">
        <f aca="false">E170+F170+G170</f>
        <v>26</v>
      </c>
      <c r="I170" s="30" t="s">
        <v>961</v>
      </c>
      <c r="J170" s="17" t="s">
        <v>962</v>
      </c>
      <c r="K170" s="17" t="s">
        <v>14</v>
      </c>
      <c r="L170" s="17" t="s">
        <v>963</v>
      </c>
    </row>
    <row r="171" customFormat="false" ht="41.75" hidden="false" customHeight="false" outlineLevel="0" collapsed="false">
      <c r="A171" s="17" t="s">
        <v>945</v>
      </c>
      <c r="B171" s="17" t="s">
        <v>88</v>
      </c>
      <c r="C171" s="30" t="s">
        <v>946</v>
      </c>
      <c r="D171" s="17" t="s">
        <v>321</v>
      </c>
      <c r="E171" s="39" t="n">
        <v>0</v>
      </c>
      <c r="F171" s="39" t="n">
        <v>0</v>
      </c>
      <c r="G171" s="39" t="n">
        <v>3500</v>
      </c>
      <c r="H171" s="19" t="n">
        <f aca="false">E171+F171+G171</f>
        <v>3500</v>
      </c>
      <c r="I171" s="30" t="s">
        <v>961</v>
      </c>
      <c r="J171" s="17" t="s">
        <v>962</v>
      </c>
      <c r="K171" s="17" t="s">
        <v>14</v>
      </c>
      <c r="L171" s="17" t="s">
        <v>963</v>
      </c>
    </row>
    <row r="172" customFormat="false" ht="41.75" hidden="false" customHeight="false" outlineLevel="0" collapsed="false">
      <c r="A172" s="17" t="s">
        <v>949</v>
      </c>
      <c r="B172" s="17" t="s">
        <v>88</v>
      </c>
      <c r="C172" s="30" t="s">
        <v>950</v>
      </c>
      <c r="D172" s="17" t="s">
        <v>401</v>
      </c>
      <c r="E172" s="39" t="n">
        <v>0</v>
      </c>
      <c r="F172" s="39" t="n">
        <v>0</v>
      </c>
      <c r="G172" s="39" t="n">
        <v>16</v>
      </c>
      <c r="H172" s="19" t="n">
        <f aca="false">E172+F172+G172</f>
        <v>16</v>
      </c>
      <c r="I172" s="30" t="s">
        <v>961</v>
      </c>
      <c r="J172" s="17" t="s">
        <v>962</v>
      </c>
      <c r="K172" s="17" t="s">
        <v>14</v>
      </c>
      <c r="L172" s="17" t="s">
        <v>963</v>
      </c>
    </row>
    <row r="173" customFormat="false" ht="41.75" hidden="false" customHeight="false" outlineLevel="0" collapsed="false">
      <c r="A173" s="17" t="s">
        <v>951</v>
      </c>
      <c r="B173" s="17" t="s">
        <v>88</v>
      </c>
      <c r="C173" s="30" t="s">
        <v>952</v>
      </c>
      <c r="D173" s="17" t="s">
        <v>321</v>
      </c>
      <c r="E173" s="39" t="n">
        <v>0</v>
      </c>
      <c r="F173" s="39" t="n">
        <v>0</v>
      </c>
      <c r="G173" s="39" t="n">
        <v>800</v>
      </c>
      <c r="H173" s="19" t="n">
        <f aca="false">E173+F173+G173</f>
        <v>800</v>
      </c>
      <c r="I173" s="30" t="s">
        <v>961</v>
      </c>
      <c r="J173" s="17" t="s">
        <v>962</v>
      </c>
      <c r="K173" s="17" t="s">
        <v>14</v>
      </c>
      <c r="L173" s="17" t="s">
        <v>963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&amp;CSFH Development - Preliminary Estimate - Page &amp;P of &amp;N</oddFooter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11" min="9" style="0" width="11"/>
    <col collapsed="false" customWidth="true" hidden="false" outlineLevel="0" max="14" min="12" style="0" width="12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8" min="17" style="0" width="10"/>
  </cols>
  <sheetData>
    <row r="1" customFormat="false" ht="30" hidden="false" customHeight="true" outlineLevel="0" collapsed="false">
      <c r="A1" s="29" t="s">
        <v>965</v>
      </c>
      <c r="B1" s="29" t="s">
        <v>298</v>
      </c>
      <c r="C1" s="29" t="s">
        <v>53</v>
      </c>
      <c r="D1" s="29" t="s">
        <v>299</v>
      </c>
      <c r="E1" s="29" t="s">
        <v>966</v>
      </c>
      <c r="F1" s="29" t="s">
        <v>967</v>
      </c>
      <c r="G1" s="29" t="s">
        <v>309</v>
      </c>
      <c r="H1" s="29" t="s">
        <v>953</v>
      </c>
      <c r="I1" s="29" t="s">
        <v>968</v>
      </c>
      <c r="J1" s="29" t="s">
        <v>969</v>
      </c>
      <c r="K1" s="29" t="s">
        <v>970</v>
      </c>
      <c r="L1" s="29" t="s">
        <v>54</v>
      </c>
      <c r="M1" s="29" t="s">
        <v>55</v>
      </c>
      <c r="N1" s="29" t="s">
        <v>56</v>
      </c>
      <c r="O1" s="29" t="s">
        <v>971</v>
      </c>
      <c r="P1" s="29" t="s">
        <v>314</v>
      </c>
      <c r="Q1" s="29" t="s">
        <v>315</v>
      </c>
      <c r="R1" s="29" t="s">
        <v>58</v>
      </c>
    </row>
    <row r="2" customFormat="false" ht="15" hidden="false" customHeight="false" outlineLevel="0" collapsed="false">
      <c r="A2" s="40" t="n">
        <v>1</v>
      </c>
      <c r="B2" s="40" t="s">
        <v>60</v>
      </c>
      <c r="C2" s="40" t="s">
        <v>61</v>
      </c>
      <c r="D2" s="38" t="s">
        <v>318</v>
      </c>
      <c r="E2" s="40" t="s">
        <v>317</v>
      </c>
      <c r="F2" s="41" t="n">
        <f aca="false">INDEX('Takeoff Detail'!$R:$R,MATCH(E2,'Takeoff Detail'!$A:$A,0))</f>
        <v>1</v>
      </c>
      <c r="G2" s="42" t="str">
        <f aca="false">INDEX('Takeoff Detail'!$P:$P,MATCH(E2,'Takeoff Detail'!$A:$A,0))</f>
        <v>LS</v>
      </c>
      <c r="H2" s="40" t="s">
        <v>317</v>
      </c>
      <c r="I2" s="43" t="n">
        <f aca="false">INDEX('Cost Database'!$E:$E,MATCH(H2,'Cost Database'!$A:$A,0))</f>
        <v>0</v>
      </c>
      <c r="J2" s="43" t="n">
        <f aca="false">INDEX('Cost Database'!$F:$F,MATCH(H2,'Cost Database'!$A:$A,0))</f>
        <v>0</v>
      </c>
      <c r="K2" s="43" t="n">
        <f aca="false">INDEX('Cost Database'!$G:$G,MATCH(H2,'Cost Database'!$A:$A,0))</f>
        <v>2600</v>
      </c>
      <c r="L2" s="18" t="n">
        <f aca="false">F2*I2</f>
        <v>0</v>
      </c>
      <c r="M2" s="18" t="n">
        <f aca="false">F2*J2</f>
        <v>0</v>
      </c>
      <c r="N2" s="18" t="n">
        <f aca="false">F2*K2</f>
        <v>2600</v>
      </c>
      <c r="O2" s="18" t="n">
        <f aca="false">L2+M2+N2</f>
        <v>2600</v>
      </c>
      <c r="P2" s="42" t="str">
        <f aca="false">INDEX('Takeoff Detail'!$U:$U,MATCH(E2,'Takeoff Detail'!$A:$A,0))</f>
        <v>Allowance</v>
      </c>
      <c r="Q2" s="42" t="str">
        <f aca="false">INDEX('Takeoff Detail'!$V:$V,MATCH(E2,'Takeoff Detail'!$A:$A,0))</f>
        <v>Medium</v>
      </c>
      <c r="R2" s="19" t="n">
        <f aca="false">O2/Summary!$C$4</f>
        <v>1.92307692307692</v>
      </c>
    </row>
    <row r="3" customFormat="false" ht="28.35" hidden="false" customHeight="false" outlineLevel="0" collapsed="false">
      <c r="A3" s="40" t="n">
        <v>2</v>
      </c>
      <c r="B3" s="40" t="s">
        <v>60</v>
      </c>
      <c r="C3" s="40" t="s">
        <v>61</v>
      </c>
      <c r="D3" s="38" t="s">
        <v>326</v>
      </c>
      <c r="E3" s="40" t="s">
        <v>325</v>
      </c>
      <c r="F3" s="41" t="n">
        <f aca="false">INDEX('Takeoff Detail'!$R:$R,MATCH(E3,'Takeoff Detail'!$A:$A,0))</f>
        <v>1</v>
      </c>
      <c r="G3" s="42" t="str">
        <f aca="false">INDEX('Takeoff Detail'!$P:$P,MATCH(E3,'Takeoff Detail'!$A:$A,0))</f>
        <v>LS</v>
      </c>
      <c r="H3" s="40" t="s">
        <v>325</v>
      </c>
      <c r="I3" s="43" t="n">
        <f aca="false">INDEX('Cost Database'!$E:$E,MATCH(H3,'Cost Database'!$A:$A,0))</f>
        <v>0</v>
      </c>
      <c r="J3" s="43" t="n">
        <f aca="false">INDEX('Cost Database'!$F:$F,MATCH(H3,'Cost Database'!$A:$A,0))</f>
        <v>0</v>
      </c>
      <c r="K3" s="43" t="n">
        <f aca="false">INDEX('Cost Database'!$G:$G,MATCH(H3,'Cost Database'!$A:$A,0))</f>
        <v>1800</v>
      </c>
      <c r="L3" s="18" t="n">
        <f aca="false">F3*I3</f>
        <v>0</v>
      </c>
      <c r="M3" s="18" t="n">
        <f aca="false">F3*J3</f>
        <v>0</v>
      </c>
      <c r="N3" s="18" t="n">
        <f aca="false">F3*K3</f>
        <v>1800</v>
      </c>
      <c r="O3" s="18" t="n">
        <f aca="false">L3+M3+N3</f>
        <v>1800</v>
      </c>
      <c r="P3" s="42" t="str">
        <f aca="false">INDEX('Takeoff Detail'!$U:$U,MATCH(E3,'Takeoff Detail'!$A:$A,0))</f>
        <v>Allowance</v>
      </c>
      <c r="Q3" s="42" t="str">
        <f aca="false">INDEX('Takeoff Detail'!$V:$V,MATCH(E3,'Takeoff Detail'!$A:$A,0))</f>
        <v>Medium</v>
      </c>
      <c r="R3" s="19" t="n">
        <f aca="false">O3/Summary!$C$4</f>
        <v>1.33136094674556</v>
      </c>
    </row>
    <row r="4" customFormat="false" ht="28.35" hidden="false" customHeight="false" outlineLevel="0" collapsed="false">
      <c r="A4" s="40" t="n">
        <v>3</v>
      </c>
      <c r="B4" s="40" t="s">
        <v>60</v>
      </c>
      <c r="C4" s="40" t="s">
        <v>61</v>
      </c>
      <c r="D4" s="38" t="s">
        <v>330</v>
      </c>
      <c r="E4" s="40" t="s">
        <v>329</v>
      </c>
      <c r="F4" s="41" t="n">
        <f aca="false">INDEX('Takeoff Detail'!$R:$R,MATCH(E4,'Takeoff Detail'!$A:$A,0))</f>
        <v>1</v>
      </c>
      <c r="G4" s="42" t="str">
        <f aca="false">INDEX('Takeoff Detail'!$P:$P,MATCH(E4,'Takeoff Detail'!$A:$A,0))</f>
        <v>LS</v>
      </c>
      <c r="H4" s="40" t="s">
        <v>329</v>
      </c>
      <c r="I4" s="43" t="n">
        <f aca="false">INDEX('Cost Database'!$E:$E,MATCH(H4,'Cost Database'!$A:$A,0))</f>
        <v>0</v>
      </c>
      <c r="J4" s="43" t="n">
        <f aca="false">INDEX('Cost Database'!$F:$F,MATCH(H4,'Cost Database'!$A:$A,0))</f>
        <v>0</v>
      </c>
      <c r="K4" s="43" t="n">
        <f aca="false">INDEX('Cost Database'!$G:$G,MATCH(H4,'Cost Database'!$A:$A,0))</f>
        <v>1900</v>
      </c>
      <c r="L4" s="18" t="n">
        <f aca="false">F4*I4</f>
        <v>0</v>
      </c>
      <c r="M4" s="18" t="n">
        <f aca="false">F4*J4</f>
        <v>0</v>
      </c>
      <c r="N4" s="18" t="n">
        <f aca="false">F4*K4</f>
        <v>1900</v>
      </c>
      <c r="O4" s="18" t="n">
        <f aca="false">L4+M4+N4</f>
        <v>1900</v>
      </c>
      <c r="P4" s="42" t="str">
        <f aca="false">INDEX('Takeoff Detail'!$U:$U,MATCH(E4,'Takeoff Detail'!$A:$A,0))</f>
        <v>Allowance</v>
      </c>
      <c r="Q4" s="42" t="str">
        <f aca="false">INDEX('Takeoff Detail'!$V:$V,MATCH(E4,'Takeoff Detail'!$A:$A,0))</f>
        <v>Medium</v>
      </c>
      <c r="R4" s="19" t="n">
        <f aca="false">O4/Summary!$C$4</f>
        <v>1.40532544378698</v>
      </c>
    </row>
    <row r="5" customFormat="false" ht="15" hidden="false" customHeight="false" outlineLevel="0" collapsed="false">
      <c r="A5" s="40" t="n">
        <v>4</v>
      </c>
      <c r="B5" s="40" t="s">
        <v>60</v>
      </c>
      <c r="C5" s="40" t="s">
        <v>61</v>
      </c>
      <c r="D5" s="38" t="s">
        <v>333</v>
      </c>
      <c r="E5" s="40" t="s">
        <v>332</v>
      </c>
      <c r="F5" s="41" t="n">
        <f aca="false">INDEX('Takeoff Detail'!$R:$R,MATCH(E5,'Takeoff Detail'!$A:$A,0))</f>
        <v>1</v>
      </c>
      <c r="G5" s="42" t="str">
        <f aca="false">INDEX('Takeoff Detail'!$P:$P,MATCH(E5,'Takeoff Detail'!$A:$A,0))</f>
        <v>LS</v>
      </c>
      <c r="H5" s="40" t="s">
        <v>332</v>
      </c>
      <c r="I5" s="43" t="n">
        <f aca="false">INDEX('Cost Database'!$E:$E,MATCH(H5,'Cost Database'!$A:$A,0))</f>
        <v>0</v>
      </c>
      <c r="J5" s="43" t="n">
        <f aca="false">INDEX('Cost Database'!$F:$F,MATCH(H5,'Cost Database'!$A:$A,0))</f>
        <v>0</v>
      </c>
      <c r="K5" s="43" t="n">
        <f aca="false">INDEX('Cost Database'!$G:$G,MATCH(H5,'Cost Database'!$A:$A,0))</f>
        <v>1850</v>
      </c>
      <c r="L5" s="18" t="n">
        <f aca="false">F5*I5</f>
        <v>0</v>
      </c>
      <c r="M5" s="18" t="n">
        <f aca="false">F5*J5</f>
        <v>0</v>
      </c>
      <c r="N5" s="18" t="n">
        <f aca="false">F5*K5</f>
        <v>1850</v>
      </c>
      <c r="O5" s="18" t="n">
        <f aca="false">L5+M5+N5</f>
        <v>1850</v>
      </c>
      <c r="P5" s="42" t="str">
        <f aca="false">INDEX('Takeoff Detail'!$U:$U,MATCH(E5,'Takeoff Detail'!$A:$A,0))</f>
        <v>Allowance</v>
      </c>
      <c r="Q5" s="42" t="str">
        <f aca="false">INDEX('Takeoff Detail'!$V:$V,MATCH(E5,'Takeoff Detail'!$A:$A,0))</f>
        <v>Medium</v>
      </c>
      <c r="R5" s="19" t="n">
        <f aca="false">O5/Summary!$C$4</f>
        <v>1.36834319526627</v>
      </c>
    </row>
    <row r="6" customFormat="false" ht="15" hidden="false" customHeight="false" outlineLevel="0" collapsed="false">
      <c r="A6" s="40" t="n">
        <v>5</v>
      </c>
      <c r="B6" s="40" t="s">
        <v>60</v>
      </c>
      <c r="C6" s="40" t="s">
        <v>61</v>
      </c>
      <c r="D6" s="38" t="s">
        <v>335</v>
      </c>
      <c r="E6" s="40" t="s">
        <v>334</v>
      </c>
      <c r="F6" s="41" t="n">
        <f aca="false">INDEX('Takeoff Detail'!$R:$R,MATCH(E6,'Takeoff Detail'!$A:$A,0))</f>
        <v>1</v>
      </c>
      <c r="G6" s="42" t="str">
        <f aca="false">INDEX('Takeoff Detail'!$P:$P,MATCH(E6,'Takeoff Detail'!$A:$A,0))</f>
        <v>LS</v>
      </c>
      <c r="H6" s="40" t="s">
        <v>334</v>
      </c>
      <c r="I6" s="43" t="n">
        <f aca="false">INDEX('Cost Database'!$E:$E,MATCH(H6,'Cost Database'!$A:$A,0))</f>
        <v>250</v>
      </c>
      <c r="J6" s="43" t="n">
        <f aca="false">INDEX('Cost Database'!$F:$F,MATCH(H6,'Cost Database'!$A:$A,0))</f>
        <v>0</v>
      </c>
      <c r="K6" s="43" t="n">
        <f aca="false">INDEX('Cost Database'!$G:$G,MATCH(H6,'Cost Database'!$A:$A,0))</f>
        <v>900</v>
      </c>
      <c r="L6" s="18" t="n">
        <f aca="false">F6*I6</f>
        <v>250</v>
      </c>
      <c r="M6" s="18" t="n">
        <f aca="false">F6*J6</f>
        <v>0</v>
      </c>
      <c r="N6" s="18" t="n">
        <f aca="false">F6*K6</f>
        <v>900</v>
      </c>
      <c r="O6" s="18" t="n">
        <f aca="false">L6+M6+N6</f>
        <v>1150</v>
      </c>
      <c r="P6" s="42" t="str">
        <f aca="false">INDEX('Takeoff Detail'!$U:$U,MATCH(E6,'Takeoff Detail'!$A:$A,0))</f>
        <v>Allowance</v>
      </c>
      <c r="Q6" s="42" t="str">
        <f aca="false">INDEX('Takeoff Detail'!$V:$V,MATCH(E6,'Takeoff Detail'!$A:$A,0))</f>
        <v>Medium</v>
      </c>
      <c r="R6" s="19" t="n">
        <f aca="false">O6/Summary!$C$4</f>
        <v>0.850591715976331</v>
      </c>
    </row>
    <row r="7" customFormat="false" ht="15" hidden="false" customHeight="false" outlineLevel="0" collapsed="false">
      <c r="A7" s="40" t="n">
        <v>6</v>
      </c>
      <c r="B7" s="40" t="s">
        <v>60</v>
      </c>
      <c r="C7" s="40" t="s">
        <v>61</v>
      </c>
      <c r="D7" s="38" t="s">
        <v>337</v>
      </c>
      <c r="E7" s="40" t="s">
        <v>336</v>
      </c>
      <c r="F7" s="41" t="n">
        <f aca="false">INDEX('Takeoff Detail'!$R:$R,MATCH(E7,'Takeoff Detail'!$A:$A,0))</f>
        <v>1</v>
      </c>
      <c r="G7" s="42" t="str">
        <f aca="false">INDEX('Takeoff Detail'!$P:$P,MATCH(E7,'Takeoff Detail'!$A:$A,0))</f>
        <v>LS</v>
      </c>
      <c r="H7" s="40" t="s">
        <v>336</v>
      </c>
      <c r="I7" s="43" t="n">
        <f aca="false">INDEX('Cost Database'!$E:$E,MATCH(H7,'Cost Database'!$A:$A,0))</f>
        <v>0</v>
      </c>
      <c r="J7" s="43" t="n">
        <f aca="false">INDEX('Cost Database'!$F:$F,MATCH(H7,'Cost Database'!$A:$A,0))</f>
        <v>0</v>
      </c>
      <c r="K7" s="43" t="n">
        <f aca="false">INDEX('Cost Database'!$G:$G,MATCH(H7,'Cost Database'!$A:$A,0))</f>
        <v>300</v>
      </c>
      <c r="L7" s="18" t="n">
        <f aca="false">F7*I7</f>
        <v>0</v>
      </c>
      <c r="M7" s="18" t="n">
        <f aca="false">F7*J7</f>
        <v>0</v>
      </c>
      <c r="N7" s="18" t="n">
        <f aca="false">F7*K7</f>
        <v>300</v>
      </c>
      <c r="O7" s="18" t="n">
        <f aca="false">L7+M7+N7</f>
        <v>300</v>
      </c>
      <c r="P7" s="42" t="str">
        <f aca="false">INDEX('Takeoff Detail'!$U:$U,MATCH(E7,'Takeoff Detail'!$A:$A,0))</f>
        <v>Allowance</v>
      </c>
      <c r="Q7" s="42" t="str">
        <f aca="false">INDEX('Takeoff Detail'!$V:$V,MATCH(E7,'Takeoff Detail'!$A:$A,0))</f>
        <v>Medium</v>
      </c>
      <c r="R7" s="19" t="n">
        <f aca="false">O7/Summary!$C$4</f>
        <v>0.22189349112426</v>
      </c>
    </row>
    <row r="8" customFormat="false" ht="15" hidden="false" customHeight="false" outlineLevel="0" collapsed="false">
      <c r="A8" s="40" t="n">
        <v>7</v>
      </c>
      <c r="B8" s="40" t="s">
        <v>60</v>
      </c>
      <c r="C8" s="40" t="s">
        <v>61</v>
      </c>
      <c r="D8" s="38" t="s">
        <v>339</v>
      </c>
      <c r="E8" s="40" t="s">
        <v>338</v>
      </c>
      <c r="F8" s="41" t="n">
        <f aca="false">INDEX('Takeoff Detail'!$R:$R,MATCH(E8,'Takeoff Detail'!$A:$A,0))</f>
        <v>5</v>
      </c>
      <c r="G8" s="42" t="str">
        <f aca="false">INDEX('Takeoff Detail'!$P:$P,MATCH(E8,'Takeoff Detail'!$A:$A,0))</f>
        <v>MO</v>
      </c>
      <c r="H8" s="40" t="s">
        <v>338</v>
      </c>
      <c r="I8" s="43" t="n">
        <f aca="false">INDEX('Cost Database'!$E:$E,MATCH(H8,'Cost Database'!$A:$A,0))</f>
        <v>0</v>
      </c>
      <c r="J8" s="43" t="n">
        <f aca="false">INDEX('Cost Database'!$F:$F,MATCH(H8,'Cost Database'!$A:$A,0))</f>
        <v>0</v>
      </c>
      <c r="K8" s="43" t="n">
        <f aca="false">INDEX('Cost Database'!$G:$G,MATCH(H8,'Cost Database'!$A:$A,0))</f>
        <v>165</v>
      </c>
      <c r="L8" s="18" t="n">
        <f aca="false">F8*I8</f>
        <v>0</v>
      </c>
      <c r="M8" s="18" t="n">
        <f aca="false">F8*J8</f>
        <v>0</v>
      </c>
      <c r="N8" s="18" t="n">
        <f aca="false">F8*K8</f>
        <v>825</v>
      </c>
      <c r="O8" s="18" t="n">
        <f aca="false">L8+M8+N8</f>
        <v>825</v>
      </c>
      <c r="P8" s="42" t="str">
        <f aca="false">INDEX('Takeoff Detail'!$U:$U,MATCH(E8,'Takeoff Detail'!$A:$A,0))</f>
        <v>Assumed</v>
      </c>
      <c r="Q8" s="42" t="str">
        <f aca="false">INDEX('Takeoff Detail'!$V:$V,MATCH(E8,'Takeoff Detail'!$A:$A,0))</f>
        <v>Medium</v>
      </c>
      <c r="R8" s="19" t="n">
        <f aca="false">O8/Summary!$C$4</f>
        <v>0.610207100591716</v>
      </c>
    </row>
    <row r="9" customFormat="false" ht="15" hidden="false" customHeight="false" outlineLevel="0" collapsed="false">
      <c r="A9" s="40" t="n">
        <v>8</v>
      </c>
      <c r="B9" s="40" t="s">
        <v>60</v>
      </c>
      <c r="C9" s="40" t="s">
        <v>61</v>
      </c>
      <c r="D9" s="38" t="s">
        <v>344</v>
      </c>
      <c r="E9" s="40" t="s">
        <v>343</v>
      </c>
      <c r="F9" s="41" t="n">
        <f aca="false">INDEX('Takeoff Detail'!$R:$R,MATCH(E9,'Takeoff Detail'!$A:$A,0))</f>
        <v>5</v>
      </c>
      <c r="G9" s="42" t="str">
        <f aca="false">INDEX('Takeoff Detail'!$P:$P,MATCH(E9,'Takeoff Detail'!$A:$A,0))</f>
        <v>EA</v>
      </c>
      <c r="H9" s="40" t="s">
        <v>343</v>
      </c>
      <c r="I9" s="43" t="n">
        <f aca="false">INDEX('Cost Database'!$E:$E,MATCH(H9,'Cost Database'!$A:$A,0))</f>
        <v>0</v>
      </c>
      <c r="J9" s="43" t="n">
        <f aca="false">INDEX('Cost Database'!$F:$F,MATCH(H9,'Cost Database'!$A:$A,0))</f>
        <v>0</v>
      </c>
      <c r="K9" s="43" t="n">
        <f aca="false">INDEX('Cost Database'!$G:$G,MATCH(H9,'Cost Database'!$A:$A,0))</f>
        <v>485</v>
      </c>
      <c r="L9" s="18" t="n">
        <f aca="false">F9*I9</f>
        <v>0</v>
      </c>
      <c r="M9" s="18" t="n">
        <f aca="false">F9*J9</f>
        <v>0</v>
      </c>
      <c r="N9" s="18" t="n">
        <f aca="false">F9*K9</f>
        <v>2425</v>
      </c>
      <c r="O9" s="18" t="n">
        <f aca="false">L9+M9+N9</f>
        <v>2425</v>
      </c>
      <c r="P9" s="42" t="str">
        <f aca="false">INDEX('Takeoff Detail'!$U:$U,MATCH(E9,'Takeoff Detail'!$A:$A,0))</f>
        <v>Assumed</v>
      </c>
      <c r="Q9" s="42" t="str">
        <f aca="false">INDEX('Takeoff Detail'!$V:$V,MATCH(E9,'Takeoff Detail'!$A:$A,0))</f>
        <v>Medium</v>
      </c>
      <c r="R9" s="19" t="n">
        <f aca="false">O9/Summary!$C$4</f>
        <v>1.79363905325444</v>
      </c>
    </row>
    <row r="10" customFormat="false" ht="15" hidden="false" customHeight="false" outlineLevel="0" collapsed="false">
      <c r="A10" s="40" t="n">
        <v>9</v>
      </c>
      <c r="B10" s="40" t="s">
        <v>60</v>
      </c>
      <c r="C10" s="40" t="s">
        <v>61</v>
      </c>
      <c r="D10" s="38" t="s">
        <v>348</v>
      </c>
      <c r="E10" s="40" t="s">
        <v>347</v>
      </c>
      <c r="F10" s="41" t="n">
        <f aca="false">INDEX('Takeoff Detail'!$R:$R,MATCH(E10,'Takeoff Detail'!$A:$A,0))</f>
        <v>1</v>
      </c>
      <c r="G10" s="42" t="str">
        <f aca="false">INDEX('Takeoff Detail'!$P:$P,MATCH(E10,'Takeoff Detail'!$A:$A,0))</f>
        <v>LS</v>
      </c>
      <c r="H10" s="40" t="s">
        <v>347</v>
      </c>
      <c r="I10" s="43" t="n">
        <f aca="false">INDEX('Cost Database'!$E:$E,MATCH(H10,'Cost Database'!$A:$A,0))</f>
        <v>0</v>
      </c>
      <c r="J10" s="43" t="n">
        <f aca="false">INDEX('Cost Database'!$F:$F,MATCH(H10,'Cost Database'!$A:$A,0))</f>
        <v>0</v>
      </c>
      <c r="K10" s="43" t="n">
        <f aca="false">INDEX('Cost Database'!$G:$G,MATCH(H10,'Cost Database'!$A:$A,0))</f>
        <v>1250</v>
      </c>
      <c r="L10" s="18" t="n">
        <f aca="false">F10*I10</f>
        <v>0</v>
      </c>
      <c r="M10" s="18" t="n">
        <f aca="false">F10*J10</f>
        <v>0</v>
      </c>
      <c r="N10" s="18" t="n">
        <f aca="false">F10*K10</f>
        <v>1250</v>
      </c>
      <c r="O10" s="18" t="n">
        <f aca="false">L10+M10+N10</f>
        <v>1250</v>
      </c>
      <c r="P10" s="42" t="str">
        <f aca="false">INDEX('Takeoff Detail'!$U:$U,MATCH(E10,'Takeoff Detail'!$A:$A,0))</f>
        <v>Allowance</v>
      </c>
      <c r="Q10" s="42" t="str">
        <f aca="false">INDEX('Takeoff Detail'!$V:$V,MATCH(E10,'Takeoff Detail'!$A:$A,0))</f>
        <v>Medium</v>
      </c>
      <c r="R10" s="19" t="n">
        <f aca="false">O10/Summary!$C$4</f>
        <v>0.924556213017752</v>
      </c>
    </row>
    <row r="11" customFormat="false" ht="15" hidden="false" customHeight="false" outlineLevel="0" collapsed="false">
      <c r="A11" s="40" t="n">
        <v>10</v>
      </c>
      <c r="B11" s="40" t="s">
        <v>60</v>
      </c>
      <c r="C11" s="40" t="s">
        <v>61</v>
      </c>
      <c r="D11" s="38" t="s">
        <v>350</v>
      </c>
      <c r="E11" s="40" t="s">
        <v>349</v>
      </c>
      <c r="F11" s="41" t="n">
        <f aca="false">INDEX('Takeoff Detail'!$R:$R,MATCH(E11,'Takeoff Detail'!$A:$A,0))</f>
        <v>20</v>
      </c>
      <c r="G11" s="42" t="str">
        <f aca="false">INDEX('Takeoff Detail'!$P:$P,MATCH(E11,'Takeoff Detail'!$A:$A,0))</f>
        <v>WK</v>
      </c>
      <c r="H11" s="40" t="s">
        <v>349</v>
      </c>
      <c r="I11" s="43" t="n">
        <f aca="false">INDEX('Cost Database'!$E:$E,MATCH(H11,'Cost Database'!$A:$A,0))</f>
        <v>0</v>
      </c>
      <c r="J11" s="43" t="n">
        <f aca="false">INDEX('Cost Database'!$F:$F,MATCH(H11,'Cost Database'!$A:$A,0))</f>
        <v>650</v>
      </c>
      <c r="K11" s="43" t="n">
        <f aca="false">INDEX('Cost Database'!$G:$G,MATCH(H11,'Cost Database'!$A:$A,0))</f>
        <v>0</v>
      </c>
      <c r="L11" s="18" t="n">
        <f aca="false">F11*I11</f>
        <v>0</v>
      </c>
      <c r="M11" s="18" t="n">
        <f aca="false">F11*J11</f>
        <v>13000</v>
      </c>
      <c r="N11" s="18" t="n">
        <f aca="false">F11*K11</f>
        <v>0</v>
      </c>
      <c r="O11" s="18" t="n">
        <f aca="false">L11+M11+N11</f>
        <v>13000</v>
      </c>
      <c r="P11" s="42" t="str">
        <f aca="false">INDEX('Takeoff Detail'!$U:$U,MATCH(E11,'Takeoff Detail'!$A:$A,0))</f>
        <v>Assumed</v>
      </c>
      <c r="Q11" s="42" t="str">
        <f aca="false">INDEX('Takeoff Detail'!$V:$V,MATCH(E11,'Takeoff Detail'!$A:$A,0))</f>
        <v>Medium</v>
      </c>
      <c r="R11" s="19" t="n">
        <f aca="false">O11/Summary!$C$4</f>
        <v>9.61538461538462</v>
      </c>
    </row>
    <row r="12" customFormat="false" ht="15" hidden="false" customHeight="false" outlineLevel="0" collapsed="false">
      <c r="A12" s="40" t="n">
        <v>11</v>
      </c>
      <c r="B12" s="40" t="s">
        <v>60</v>
      </c>
      <c r="C12" s="40" t="s">
        <v>61</v>
      </c>
      <c r="D12" s="38" t="s">
        <v>354</v>
      </c>
      <c r="E12" s="40" t="s">
        <v>353</v>
      </c>
      <c r="F12" s="41" t="n">
        <f aca="false">INDEX('Takeoff Detail'!$R:$R,MATCH(E12,'Takeoff Detail'!$A:$A,0))</f>
        <v>1975.75</v>
      </c>
      <c r="G12" s="42" t="str">
        <f aca="false">INDEX('Takeoff Detail'!$P:$P,MATCH(E12,'Takeoff Detail'!$A:$A,0))</f>
        <v>SF</v>
      </c>
      <c r="H12" s="40" t="s">
        <v>353</v>
      </c>
      <c r="I12" s="43" t="n">
        <f aca="false">INDEX('Cost Database'!$E:$E,MATCH(H12,'Cost Database'!$A:$A,0))</f>
        <v>0</v>
      </c>
      <c r="J12" s="43" t="n">
        <f aca="false">INDEX('Cost Database'!$F:$F,MATCH(H12,'Cost Database'!$A:$A,0))</f>
        <v>0</v>
      </c>
      <c r="K12" s="43" t="n">
        <f aca="false">INDEX('Cost Database'!$G:$G,MATCH(H12,'Cost Database'!$A:$A,0))</f>
        <v>0.35</v>
      </c>
      <c r="L12" s="18" t="n">
        <f aca="false">F12*I12</f>
        <v>0</v>
      </c>
      <c r="M12" s="18" t="n">
        <f aca="false">F12*J12</f>
        <v>0</v>
      </c>
      <c r="N12" s="18" t="n">
        <f aca="false">F12*K12</f>
        <v>691.5125</v>
      </c>
      <c r="O12" s="18" t="n">
        <f aca="false">L12+M12+N12</f>
        <v>691.5125</v>
      </c>
      <c r="P12" s="42" t="str">
        <f aca="false">INDEX('Takeoff Detail'!$U:$U,MATCH(E12,'Takeoff Detail'!$A:$A,0))</f>
        <v>Calculated</v>
      </c>
      <c r="Q12" s="42" t="str">
        <f aca="false">INDEX('Takeoff Detail'!$V:$V,MATCH(E12,'Takeoff Detail'!$A:$A,0))</f>
        <v>High</v>
      </c>
      <c r="R12" s="19" t="n">
        <f aca="false">O12/Summary!$C$4</f>
        <v>0.51147374260355</v>
      </c>
    </row>
    <row r="13" customFormat="false" ht="15" hidden="false" customHeight="false" outlineLevel="0" collapsed="false">
      <c r="A13" s="40" t="n">
        <v>12</v>
      </c>
      <c r="B13" s="40" t="s">
        <v>60</v>
      </c>
      <c r="C13" s="40" t="s">
        <v>61</v>
      </c>
      <c r="D13" s="38" t="s">
        <v>362</v>
      </c>
      <c r="E13" s="40" t="s">
        <v>361</v>
      </c>
      <c r="F13" s="41" t="n">
        <f aca="false">INDEX('Takeoff Detail'!$R:$R,MATCH(E13,'Takeoff Detail'!$A:$A,0))</f>
        <v>1</v>
      </c>
      <c r="G13" s="42" t="str">
        <f aca="false">INDEX('Takeoff Detail'!$P:$P,MATCH(E13,'Takeoff Detail'!$A:$A,0))</f>
        <v>LS</v>
      </c>
      <c r="H13" s="40" t="s">
        <v>361</v>
      </c>
      <c r="I13" s="43" t="n">
        <f aca="false">INDEX('Cost Database'!$E:$E,MATCH(H13,'Cost Database'!$A:$A,0))</f>
        <v>0</v>
      </c>
      <c r="J13" s="43" t="n">
        <f aca="false">INDEX('Cost Database'!$F:$F,MATCH(H13,'Cost Database'!$A:$A,0))</f>
        <v>900</v>
      </c>
      <c r="K13" s="43" t="n">
        <f aca="false">INDEX('Cost Database'!$G:$G,MATCH(H13,'Cost Database'!$A:$A,0))</f>
        <v>0</v>
      </c>
      <c r="L13" s="18" t="n">
        <f aca="false">F13*I13</f>
        <v>0</v>
      </c>
      <c r="M13" s="18" t="n">
        <f aca="false">F13*J13</f>
        <v>900</v>
      </c>
      <c r="N13" s="18" t="n">
        <f aca="false">F13*K13</f>
        <v>0</v>
      </c>
      <c r="O13" s="18" t="n">
        <f aca="false">L13+M13+N13</f>
        <v>900</v>
      </c>
      <c r="P13" s="42" t="str">
        <f aca="false">INDEX('Takeoff Detail'!$U:$U,MATCH(E13,'Takeoff Detail'!$A:$A,0))</f>
        <v>Allowance</v>
      </c>
      <c r="Q13" s="42" t="str">
        <f aca="false">INDEX('Takeoff Detail'!$V:$V,MATCH(E13,'Takeoff Detail'!$A:$A,0))</f>
        <v>Medium</v>
      </c>
      <c r="R13" s="19" t="n">
        <f aca="false">O13/Summary!$C$4</f>
        <v>0.665680473372781</v>
      </c>
    </row>
    <row r="14" customFormat="false" ht="28.35" hidden="false" customHeight="false" outlineLevel="0" collapsed="false">
      <c r="A14" s="40" t="n">
        <v>13</v>
      </c>
      <c r="B14" s="40" t="s">
        <v>60</v>
      </c>
      <c r="C14" s="40" t="s">
        <v>61</v>
      </c>
      <c r="D14" s="38" t="s">
        <v>364</v>
      </c>
      <c r="E14" s="40" t="s">
        <v>363</v>
      </c>
      <c r="F14" s="41" t="n">
        <f aca="false">INDEX('Takeoff Detail'!$R:$R,MATCH(E14,'Takeoff Detail'!$A:$A,0))</f>
        <v>1482.25</v>
      </c>
      <c r="G14" s="42" t="str">
        <f aca="false">INDEX('Takeoff Detail'!$P:$P,MATCH(E14,'Takeoff Detail'!$A:$A,0))</f>
        <v>SF</v>
      </c>
      <c r="H14" s="40" t="s">
        <v>363</v>
      </c>
      <c r="I14" s="43" t="n">
        <f aca="false">INDEX('Cost Database'!$E:$E,MATCH(H14,'Cost Database'!$A:$A,0))</f>
        <v>0.38</v>
      </c>
      <c r="J14" s="43" t="n">
        <f aca="false">INDEX('Cost Database'!$F:$F,MATCH(H14,'Cost Database'!$A:$A,0))</f>
        <v>0.08</v>
      </c>
      <c r="K14" s="43" t="n">
        <f aca="false">INDEX('Cost Database'!$G:$G,MATCH(H14,'Cost Database'!$A:$A,0))</f>
        <v>0</v>
      </c>
      <c r="L14" s="18" t="n">
        <f aca="false">F14*I14</f>
        <v>563.255</v>
      </c>
      <c r="M14" s="18" t="n">
        <f aca="false">F14*J14</f>
        <v>118.58</v>
      </c>
      <c r="N14" s="18" t="n">
        <f aca="false">F14*K14</f>
        <v>0</v>
      </c>
      <c r="O14" s="18" t="n">
        <f aca="false">L14+M14+N14</f>
        <v>681.835</v>
      </c>
      <c r="P14" s="42" t="str">
        <f aca="false">INDEX('Takeoff Detail'!$U:$U,MATCH(E14,'Takeoff Detail'!$A:$A,0))</f>
        <v>Calculated</v>
      </c>
      <c r="Q14" s="42" t="str">
        <f aca="false">INDEX('Takeoff Detail'!$V:$V,MATCH(E14,'Takeoff Detail'!$A:$A,0))</f>
        <v>High</v>
      </c>
      <c r="R14" s="19" t="n">
        <f aca="false">O14/Summary!$C$4</f>
        <v>0.504315828402367</v>
      </c>
    </row>
    <row r="15" customFormat="false" ht="15" hidden="false" customHeight="false" outlineLevel="0" collapsed="false">
      <c r="A15" s="40" t="n">
        <v>14</v>
      </c>
      <c r="B15" s="40" t="s">
        <v>60</v>
      </c>
      <c r="C15" s="40" t="s">
        <v>61</v>
      </c>
      <c r="D15" s="38" t="s">
        <v>370</v>
      </c>
      <c r="E15" s="40" t="s">
        <v>369</v>
      </c>
      <c r="F15" s="41" t="n">
        <f aca="false">INDEX('Takeoff Detail'!$R:$R,MATCH(E15,'Takeoff Detail'!$A:$A,0))</f>
        <v>1</v>
      </c>
      <c r="G15" s="42" t="str">
        <f aca="false">INDEX('Takeoff Detail'!$P:$P,MATCH(E15,'Takeoff Detail'!$A:$A,0))</f>
        <v>LS</v>
      </c>
      <c r="H15" s="40" t="s">
        <v>369</v>
      </c>
      <c r="I15" s="43" t="n">
        <f aca="false">INDEX('Cost Database'!$E:$E,MATCH(H15,'Cost Database'!$A:$A,0))</f>
        <v>0</v>
      </c>
      <c r="J15" s="43" t="n">
        <f aca="false">INDEX('Cost Database'!$F:$F,MATCH(H15,'Cost Database'!$A:$A,0))</f>
        <v>0</v>
      </c>
      <c r="K15" s="43" t="n">
        <f aca="false">INDEX('Cost Database'!$G:$G,MATCH(H15,'Cost Database'!$A:$A,0))</f>
        <v>525</v>
      </c>
      <c r="L15" s="18" t="n">
        <f aca="false">F15*I15</f>
        <v>0</v>
      </c>
      <c r="M15" s="18" t="n">
        <f aca="false">F15*J15</f>
        <v>0</v>
      </c>
      <c r="N15" s="18" t="n">
        <f aca="false">F15*K15</f>
        <v>525</v>
      </c>
      <c r="O15" s="18" t="n">
        <f aca="false">L15+M15+N15</f>
        <v>525</v>
      </c>
      <c r="P15" s="42" t="str">
        <f aca="false">INDEX('Takeoff Detail'!$U:$U,MATCH(E15,'Takeoff Detail'!$A:$A,0))</f>
        <v>Allowance</v>
      </c>
      <c r="Q15" s="42" t="str">
        <f aca="false">INDEX('Takeoff Detail'!$V:$V,MATCH(E15,'Takeoff Detail'!$A:$A,0))</f>
        <v>Medium</v>
      </c>
      <c r="R15" s="19" t="n">
        <f aca="false">O15/Summary!$C$4</f>
        <v>0.388313609467456</v>
      </c>
    </row>
    <row r="16" customFormat="false" ht="15" hidden="false" customHeight="false" outlineLevel="0" collapsed="false">
      <c r="A16" s="40" t="n">
        <v>15</v>
      </c>
      <c r="B16" s="40" t="s">
        <v>60</v>
      </c>
      <c r="C16" s="40" t="s">
        <v>61</v>
      </c>
      <c r="D16" s="38" t="s">
        <v>374</v>
      </c>
      <c r="E16" s="40" t="s">
        <v>373</v>
      </c>
      <c r="F16" s="41" t="n">
        <f aca="false">INDEX('Takeoff Detail'!$R:$R,MATCH(E16,'Takeoff Detail'!$A:$A,0))</f>
        <v>1</v>
      </c>
      <c r="G16" s="42" t="str">
        <f aca="false">INDEX('Takeoff Detail'!$P:$P,MATCH(E16,'Takeoff Detail'!$A:$A,0))</f>
        <v>LS</v>
      </c>
      <c r="H16" s="40" t="s">
        <v>373</v>
      </c>
      <c r="I16" s="43" t="n">
        <f aca="false">INDEX('Cost Database'!$E:$E,MATCH(H16,'Cost Database'!$A:$A,0))</f>
        <v>600</v>
      </c>
      <c r="J16" s="43" t="n">
        <f aca="false">INDEX('Cost Database'!$F:$F,MATCH(H16,'Cost Database'!$A:$A,0))</f>
        <v>0</v>
      </c>
      <c r="K16" s="43" t="n">
        <f aca="false">INDEX('Cost Database'!$G:$G,MATCH(H16,'Cost Database'!$A:$A,0))</f>
        <v>0</v>
      </c>
      <c r="L16" s="18" t="n">
        <f aca="false">F16*I16</f>
        <v>600</v>
      </c>
      <c r="M16" s="18" t="n">
        <f aca="false">F16*J16</f>
        <v>0</v>
      </c>
      <c r="N16" s="18" t="n">
        <f aca="false">F16*K16</f>
        <v>0</v>
      </c>
      <c r="O16" s="18" t="n">
        <f aca="false">L16+M16+N16</f>
        <v>600</v>
      </c>
      <c r="P16" s="42" t="str">
        <f aca="false">INDEX('Takeoff Detail'!$U:$U,MATCH(E16,'Takeoff Detail'!$A:$A,0))</f>
        <v>Allowance</v>
      </c>
      <c r="Q16" s="42" t="str">
        <f aca="false">INDEX('Takeoff Detail'!$V:$V,MATCH(E16,'Takeoff Detail'!$A:$A,0))</f>
        <v>Medium</v>
      </c>
      <c r="R16" s="19" t="n">
        <f aca="false">O16/Summary!$C$4</f>
        <v>0.443786982248521</v>
      </c>
    </row>
    <row r="17" customFormat="false" ht="15" hidden="false" customHeight="false" outlineLevel="0" collapsed="false">
      <c r="A17" s="40" t="n">
        <v>16</v>
      </c>
      <c r="B17" s="40" t="s">
        <v>60</v>
      </c>
      <c r="C17" s="40" t="s">
        <v>61</v>
      </c>
      <c r="D17" s="38" t="s">
        <v>376</v>
      </c>
      <c r="E17" s="40" t="s">
        <v>375</v>
      </c>
      <c r="F17" s="41" t="n">
        <f aca="false">INDEX('Takeoff Detail'!$R:$R,MATCH(E17,'Takeoff Detail'!$A:$A,0))</f>
        <v>1</v>
      </c>
      <c r="G17" s="42" t="str">
        <f aca="false">INDEX('Takeoff Detail'!$P:$P,MATCH(E17,'Takeoff Detail'!$A:$A,0))</f>
        <v>LS</v>
      </c>
      <c r="H17" s="40" t="s">
        <v>375</v>
      </c>
      <c r="I17" s="43" t="n">
        <f aca="false">INDEX('Cost Database'!$E:$E,MATCH(H17,'Cost Database'!$A:$A,0))</f>
        <v>0</v>
      </c>
      <c r="J17" s="43" t="n">
        <f aca="false">INDEX('Cost Database'!$F:$F,MATCH(H17,'Cost Database'!$A:$A,0))</f>
        <v>0</v>
      </c>
      <c r="K17" s="43" t="n">
        <f aca="false">INDEX('Cost Database'!$G:$G,MATCH(H17,'Cost Database'!$A:$A,0))</f>
        <v>450</v>
      </c>
      <c r="L17" s="18" t="n">
        <f aca="false">F17*I17</f>
        <v>0</v>
      </c>
      <c r="M17" s="18" t="n">
        <f aca="false">F17*J17</f>
        <v>0</v>
      </c>
      <c r="N17" s="18" t="n">
        <f aca="false">F17*K17</f>
        <v>450</v>
      </c>
      <c r="O17" s="18" t="n">
        <f aca="false">L17+M17+N17</f>
        <v>450</v>
      </c>
      <c r="P17" s="42" t="str">
        <f aca="false">INDEX('Takeoff Detail'!$U:$U,MATCH(E17,'Takeoff Detail'!$A:$A,0))</f>
        <v>Allowance</v>
      </c>
      <c r="Q17" s="42" t="str">
        <f aca="false">INDEX('Takeoff Detail'!$V:$V,MATCH(E17,'Takeoff Detail'!$A:$A,0))</f>
        <v>Medium</v>
      </c>
      <c r="R17" s="19" t="n">
        <f aca="false">O17/Summary!$C$4</f>
        <v>0.332840236686391</v>
      </c>
    </row>
    <row r="18" customFormat="false" ht="15" hidden="false" customHeight="false" outlineLevel="0" collapsed="false">
      <c r="A18" s="40" t="n">
        <v>17</v>
      </c>
      <c r="B18" s="40" t="s">
        <v>62</v>
      </c>
      <c r="C18" s="40" t="s">
        <v>63</v>
      </c>
      <c r="D18" s="38" t="s">
        <v>379</v>
      </c>
      <c r="E18" s="40" t="s">
        <v>378</v>
      </c>
      <c r="F18" s="41" t="n">
        <f aca="false">INDEX('Takeoff Detail'!$R:$R,MATCH(E18,'Takeoff Detail'!$A:$A,0))</f>
        <v>1</v>
      </c>
      <c r="G18" s="42" t="str">
        <f aca="false">INDEX('Takeoff Detail'!$P:$P,MATCH(E18,'Takeoff Detail'!$A:$A,0))</f>
        <v>LS</v>
      </c>
      <c r="H18" s="40" t="s">
        <v>378</v>
      </c>
      <c r="I18" s="43" t="n">
        <f aca="false">INDEX('Cost Database'!$E:$E,MATCH(H18,'Cost Database'!$A:$A,0))</f>
        <v>0</v>
      </c>
      <c r="J18" s="43" t="n">
        <f aca="false">INDEX('Cost Database'!$F:$F,MATCH(H18,'Cost Database'!$A:$A,0))</f>
        <v>0</v>
      </c>
      <c r="K18" s="43" t="n">
        <f aca="false">INDEX('Cost Database'!$G:$G,MATCH(H18,'Cost Database'!$A:$A,0))</f>
        <v>2800</v>
      </c>
      <c r="L18" s="18" t="n">
        <f aca="false">F18*I18</f>
        <v>0</v>
      </c>
      <c r="M18" s="18" t="n">
        <f aca="false">F18*J18</f>
        <v>0</v>
      </c>
      <c r="N18" s="18" t="n">
        <f aca="false">F18*K18</f>
        <v>2800</v>
      </c>
      <c r="O18" s="18" t="n">
        <f aca="false">L18+M18+N18</f>
        <v>2800</v>
      </c>
      <c r="P18" s="42" t="str">
        <f aca="false">INDEX('Takeoff Detail'!$U:$U,MATCH(E18,'Takeoff Detail'!$A:$A,0))</f>
        <v>Allowance</v>
      </c>
      <c r="Q18" s="42" t="str">
        <f aca="false">INDEX('Takeoff Detail'!$V:$V,MATCH(E18,'Takeoff Detail'!$A:$A,0))</f>
        <v>Low</v>
      </c>
      <c r="R18" s="19" t="n">
        <f aca="false">O18/Summary!$C$4</f>
        <v>2.07100591715976</v>
      </c>
    </row>
    <row r="19" customFormat="false" ht="28.35" hidden="false" customHeight="false" outlineLevel="0" collapsed="false">
      <c r="A19" s="40" t="n">
        <v>18</v>
      </c>
      <c r="B19" s="40" t="s">
        <v>62</v>
      </c>
      <c r="C19" s="40" t="s">
        <v>63</v>
      </c>
      <c r="D19" s="38" t="s">
        <v>383</v>
      </c>
      <c r="E19" s="40" t="s">
        <v>382</v>
      </c>
      <c r="F19" s="41" t="n">
        <f aca="false">INDEX('Takeoff Detail'!$R:$R,MATCH(E19,'Takeoff Detail'!$A:$A,0))</f>
        <v>150</v>
      </c>
      <c r="G19" s="42" t="str">
        <f aca="false">INDEX('Takeoff Detail'!$P:$P,MATCH(E19,'Takeoff Detail'!$A:$A,0))</f>
        <v>CY</v>
      </c>
      <c r="H19" s="40" t="s">
        <v>382</v>
      </c>
      <c r="I19" s="43" t="n">
        <f aca="false">INDEX('Cost Database'!$E:$E,MATCH(H19,'Cost Database'!$A:$A,0))</f>
        <v>18</v>
      </c>
      <c r="J19" s="43" t="n">
        <f aca="false">INDEX('Cost Database'!$F:$F,MATCH(H19,'Cost Database'!$A:$A,0))</f>
        <v>0</v>
      </c>
      <c r="K19" s="43" t="n">
        <f aca="false">INDEX('Cost Database'!$G:$G,MATCH(H19,'Cost Database'!$A:$A,0))</f>
        <v>7.5</v>
      </c>
      <c r="L19" s="18" t="n">
        <f aca="false">F19*I19</f>
        <v>2700</v>
      </c>
      <c r="M19" s="18" t="n">
        <f aca="false">F19*J19</f>
        <v>0</v>
      </c>
      <c r="N19" s="18" t="n">
        <f aca="false">F19*K19</f>
        <v>1125</v>
      </c>
      <c r="O19" s="18" t="n">
        <f aca="false">L19+M19+N19</f>
        <v>3825</v>
      </c>
      <c r="P19" s="42" t="str">
        <f aca="false">INDEX('Takeoff Detail'!$U:$U,MATCH(E19,'Takeoff Detail'!$A:$A,0))</f>
        <v>Assumed</v>
      </c>
      <c r="Q19" s="42" t="str">
        <f aca="false">INDEX('Takeoff Detail'!$V:$V,MATCH(E19,'Takeoff Detail'!$A:$A,0))</f>
        <v>Low</v>
      </c>
      <c r="R19" s="19" t="n">
        <f aca="false">O19/Summary!$C$4</f>
        <v>2.82914201183432</v>
      </c>
    </row>
    <row r="20" customFormat="false" ht="15" hidden="false" customHeight="false" outlineLevel="0" collapsed="false">
      <c r="A20" s="40" t="n">
        <v>19</v>
      </c>
      <c r="B20" s="40" t="s">
        <v>62</v>
      </c>
      <c r="C20" s="40" t="s">
        <v>63</v>
      </c>
      <c r="D20" s="38" t="s">
        <v>392</v>
      </c>
      <c r="E20" s="40" t="s">
        <v>391</v>
      </c>
      <c r="F20" s="41" t="n">
        <f aca="false">INDEX('Takeoff Detail'!$R:$R,MATCH(E20,'Takeoff Detail'!$A:$A,0))</f>
        <v>3226.58333333333</v>
      </c>
      <c r="G20" s="42" t="str">
        <f aca="false">INDEX('Takeoff Detail'!$P:$P,MATCH(E20,'Takeoff Detail'!$A:$A,0))</f>
        <v>SF</v>
      </c>
      <c r="H20" s="40" t="s">
        <v>391</v>
      </c>
      <c r="I20" s="43" t="n">
        <f aca="false">INDEX('Cost Database'!$E:$E,MATCH(H20,'Cost Database'!$A:$A,0))</f>
        <v>0</v>
      </c>
      <c r="J20" s="43" t="n">
        <f aca="false">INDEX('Cost Database'!$F:$F,MATCH(H20,'Cost Database'!$A:$A,0))</f>
        <v>0</v>
      </c>
      <c r="K20" s="43" t="n">
        <f aca="false">INDEX('Cost Database'!$G:$G,MATCH(H20,'Cost Database'!$A:$A,0))</f>
        <v>0.18</v>
      </c>
      <c r="L20" s="18" t="n">
        <f aca="false">F20*I20</f>
        <v>0</v>
      </c>
      <c r="M20" s="18" t="n">
        <f aca="false">F20*J20</f>
        <v>0</v>
      </c>
      <c r="N20" s="18" t="n">
        <f aca="false">F20*K20</f>
        <v>580.785</v>
      </c>
      <c r="O20" s="18" t="n">
        <f aca="false">L20+M20+N20</f>
        <v>580.785</v>
      </c>
      <c r="P20" s="42" t="str">
        <f aca="false">INDEX('Takeoff Detail'!$U:$U,MATCH(E20,'Takeoff Detail'!$A:$A,0))</f>
        <v>Calculated</v>
      </c>
      <c r="Q20" s="42" t="str">
        <f aca="false">INDEX('Takeoff Detail'!$V:$V,MATCH(E20,'Takeoff Detail'!$A:$A,0))</f>
        <v>High</v>
      </c>
      <c r="R20" s="19" t="n">
        <f aca="false">O20/Summary!$C$4</f>
        <v>0.429574704142012</v>
      </c>
    </row>
    <row r="21" customFormat="false" ht="15" hidden="false" customHeight="false" outlineLevel="0" collapsed="false">
      <c r="A21" s="40" t="n">
        <v>20</v>
      </c>
      <c r="B21" s="40" t="s">
        <v>62</v>
      </c>
      <c r="C21" s="40" t="s">
        <v>63</v>
      </c>
      <c r="D21" s="38" t="s">
        <v>395</v>
      </c>
      <c r="E21" s="40" t="s">
        <v>394</v>
      </c>
      <c r="F21" s="41" t="n">
        <f aca="false">INDEX('Takeoff Detail'!$R:$R,MATCH(E21,'Takeoff Detail'!$A:$A,0))</f>
        <v>1</v>
      </c>
      <c r="G21" s="42" t="str">
        <f aca="false">INDEX('Takeoff Detail'!$P:$P,MATCH(E21,'Takeoff Detail'!$A:$A,0))</f>
        <v>LS</v>
      </c>
      <c r="H21" s="40" t="s">
        <v>394</v>
      </c>
      <c r="I21" s="43" t="n">
        <f aca="false">INDEX('Cost Database'!$E:$E,MATCH(H21,'Cost Database'!$A:$A,0))</f>
        <v>0</v>
      </c>
      <c r="J21" s="43" t="n">
        <f aca="false">INDEX('Cost Database'!$F:$F,MATCH(H21,'Cost Database'!$A:$A,0))</f>
        <v>0</v>
      </c>
      <c r="K21" s="43" t="n">
        <f aca="false">INDEX('Cost Database'!$G:$G,MATCH(H21,'Cost Database'!$A:$A,0))</f>
        <v>1800</v>
      </c>
      <c r="L21" s="18" t="n">
        <f aca="false">F21*I21</f>
        <v>0</v>
      </c>
      <c r="M21" s="18" t="n">
        <f aca="false">F21*J21</f>
        <v>0</v>
      </c>
      <c r="N21" s="18" t="n">
        <f aca="false">F21*K21</f>
        <v>1800</v>
      </c>
      <c r="O21" s="18" t="n">
        <f aca="false">L21+M21+N21</f>
        <v>1800</v>
      </c>
      <c r="P21" s="42" t="str">
        <f aca="false">INDEX('Takeoff Detail'!$U:$U,MATCH(E21,'Takeoff Detail'!$A:$A,0))</f>
        <v>Allowance</v>
      </c>
      <c r="Q21" s="42" t="str">
        <f aca="false">INDEX('Takeoff Detail'!$V:$V,MATCH(E21,'Takeoff Detail'!$A:$A,0))</f>
        <v>Medium</v>
      </c>
      <c r="R21" s="19" t="n">
        <f aca="false">O21/Summary!$C$4</f>
        <v>1.33136094674556</v>
      </c>
    </row>
    <row r="22" customFormat="false" ht="15" hidden="false" customHeight="false" outlineLevel="0" collapsed="false">
      <c r="A22" s="40" t="n">
        <v>21</v>
      </c>
      <c r="B22" s="40" t="s">
        <v>62</v>
      </c>
      <c r="C22" s="40" t="s">
        <v>63</v>
      </c>
      <c r="D22" s="38" t="s">
        <v>398</v>
      </c>
      <c r="E22" s="40" t="s">
        <v>397</v>
      </c>
      <c r="F22" s="41" t="n">
        <f aca="false">INDEX('Takeoff Detail'!$R:$R,MATCH(E22,'Takeoff Detail'!$A:$A,0))</f>
        <v>230</v>
      </c>
      <c r="G22" s="42" t="str">
        <f aca="false">INDEX('Takeoff Detail'!$P:$P,MATCH(E22,'Takeoff Detail'!$A:$A,0))</f>
        <v>LF</v>
      </c>
      <c r="H22" s="40" t="s">
        <v>397</v>
      </c>
      <c r="I22" s="43" t="n">
        <f aca="false">INDEX('Cost Database'!$E:$E,MATCH(H22,'Cost Database'!$A:$A,0))</f>
        <v>0.9</v>
      </c>
      <c r="J22" s="43" t="n">
        <f aca="false">INDEX('Cost Database'!$F:$F,MATCH(H22,'Cost Database'!$A:$A,0))</f>
        <v>1.6</v>
      </c>
      <c r="K22" s="43" t="n">
        <f aca="false">INDEX('Cost Database'!$G:$G,MATCH(H22,'Cost Database'!$A:$A,0))</f>
        <v>0</v>
      </c>
      <c r="L22" s="18" t="n">
        <f aca="false">F22*I22</f>
        <v>207</v>
      </c>
      <c r="M22" s="18" t="n">
        <f aca="false">F22*J22</f>
        <v>368</v>
      </c>
      <c r="N22" s="18" t="n">
        <f aca="false">F22*K22</f>
        <v>0</v>
      </c>
      <c r="O22" s="18" t="n">
        <f aca="false">L22+M22+N22</f>
        <v>575</v>
      </c>
      <c r="P22" s="42" t="str">
        <f aca="false">INDEX('Takeoff Detail'!$U:$U,MATCH(E22,'Takeoff Detail'!$A:$A,0))</f>
        <v>Assumed</v>
      </c>
      <c r="Q22" s="42" t="str">
        <f aca="false">INDEX('Takeoff Detail'!$V:$V,MATCH(E22,'Takeoff Detail'!$A:$A,0))</f>
        <v>Medium</v>
      </c>
      <c r="R22" s="19" t="n">
        <f aca="false">O22/Summary!$C$4</f>
        <v>0.425295857988166</v>
      </c>
    </row>
    <row r="23" customFormat="false" ht="15" hidden="false" customHeight="false" outlineLevel="0" collapsed="false">
      <c r="A23" s="40" t="n">
        <v>22</v>
      </c>
      <c r="B23" s="40" t="s">
        <v>64</v>
      </c>
      <c r="C23" s="40" t="s">
        <v>65</v>
      </c>
      <c r="D23" s="38" t="s">
        <v>404</v>
      </c>
      <c r="E23" s="40" t="s">
        <v>403</v>
      </c>
      <c r="F23" s="41" t="n">
        <f aca="false">INDEX('Takeoff Detail'!$R:$R,MATCH(E23,'Takeoff Detail'!$A:$A,0))</f>
        <v>25.6115740740741</v>
      </c>
      <c r="G23" s="42" t="str">
        <f aca="false">INDEX('Takeoff Detail'!$P:$P,MATCH(E23,'Takeoff Detail'!$A:$A,0))</f>
        <v>CY</v>
      </c>
      <c r="H23" s="40" t="s">
        <v>403</v>
      </c>
      <c r="I23" s="43" t="n">
        <f aca="false">INDEX('Cost Database'!$E:$E,MATCH(H23,'Cost Database'!$A:$A,0))</f>
        <v>168</v>
      </c>
      <c r="J23" s="43" t="n">
        <f aca="false">INDEX('Cost Database'!$F:$F,MATCH(H23,'Cost Database'!$A:$A,0))</f>
        <v>0</v>
      </c>
      <c r="K23" s="43" t="n">
        <f aca="false">INDEX('Cost Database'!$G:$G,MATCH(H23,'Cost Database'!$A:$A,0))</f>
        <v>0</v>
      </c>
      <c r="L23" s="18" t="n">
        <f aca="false">F23*I23</f>
        <v>4302.74444444444</v>
      </c>
      <c r="M23" s="18" t="n">
        <f aca="false">F23*J23</f>
        <v>0</v>
      </c>
      <c r="N23" s="18" t="n">
        <f aca="false">F23*K23</f>
        <v>0</v>
      </c>
      <c r="O23" s="18" t="n">
        <f aca="false">L23+M23+N23</f>
        <v>4302.74444444444</v>
      </c>
      <c r="P23" s="42" t="str">
        <f aca="false">INDEX('Takeoff Detail'!$U:$U,MATCH(E23,'Takeoff Detail'!$A:$A,0))</f>
        <v>Calculated</v>
      </c>
      <c r="Q23" s="42" t="str">
        <f aca="false">INDEX('Takeoff Detail'!$V:$V,MATCH(E23,'Takeoff Detail'!$A:$A,0))</f>
        <v>High</v>
      </c>
      <c r="R23" s="19" t="n">
        <f aca="false">O23/Summary!$C$4</f>
        <v>3.18250328731098</v>
      </c>
    </row>
    <row r="24" customFormat="false" ht="28.35" hidden="false" customHeight="false" outlineLevel="0" collapsed="false">
      <c r="A24" s="40" t="n">
        <v>23</v>
      </c>
      <c r="B24" s="40" t="s">
        <v>64</v>
      </c>
      <c r="C24" s="40" t="s">
        <v>65</v>
      </c>
      <c r="D24" s="38" t="s">
        <v>410</v>
      </c>
      <c r="E24" s="40" t="s">
        <v>409</v>
      </c>
      <c r="F24" s="41" t="n">
        <f aca="false">INDEX('Takeoff Detail'!$R:$R,MATCH(E24,'Takeoff Detail'!$A:$A,0))</f>
        <v>15.3444444444444</v>
      </c>
      <c r="G24" s="42" t="str">
        <f aca="false">INDEX('Takeoff Detail'!$P:$P,MATCH(E24,'Takeoff Detail'!$A:$A,0))</f>
        <v>CY</v>
      </c>
      <c r="H24" s="40" t="s">
        <v>409</v>
      </c>
      <c r="I24" s="43" t="n">
        <f aca="false">INDEX('Cost Database'!$E:$E,MATCH(H24,'Cost Database'!$A:$A,0))</f>
        <v>168</v>
      </c>
      <c r="J24" s="43" t="n">
        <f aca="false">INDEX('Cost Database'!$F:$F,MATCH(H24,'Cost Database'!$A:$A,0))</f>
        <v>0</v>
      </c>
      <c r="K24" s="43" t="n">
        <f aca="false">INDEX('Cost Database'!$G:$G,MATCH(H24,'Cost Database'!$A:$A,0))</f>
        <v>0</v>
      </c>
      <c r="L24" s="18" t="n">
        <f aca="false">F24*I24</f>
        <v>2577.86666666667</v>
      </c>
      <c r="M24" s="18" t="n">
        <f aca="false">F24*J24</f>
        <v>0</v>
      </c>
      <c r="N24" s="18" t="n">
        <f aca="false">F24*K24</f>
        <v>0</v>
      </c>
      <c r="O24" s="18" t="n">
        <f aca="false">L24+M24+N24</f>
        <v>2577.86666666667</v>
      </c>
      <c r="P24" s="42" t="str">
        <f aca="false">INDEX('Takeoff Detail'!$U:$U,MATCH(E24,'Takeoff Detail'!$A:$A,0))</f>
        <v>Assumed</v>
      </c>
      <c r="Q24" s="42" t="str">
        <f aca="false">INDEX('Takeoff Detail'!$V:$V,MATCH(E24,'Takeoff Detail'!$A:$A,0))</f>
        <v>Medium</v>
      </c>
      <c r="R24" s="19" t="n">
        <f aca="false">O24/Summary!$C$4</f>
        <v>1.90670611439842</v>
      </c>
    </row>
    <row r="25" customFormat="false" ht="28.35" hidden="false" customHeight="false" outlineLevel="0" collapsed="false">
      <c r="A25" s="40" t="n">
        <v>24</v>
      </c>
      <c r="B25" s="40" t="s">
        <v>64</v>
      </c>
      <c r="C25" s="40" t="s">
        <v>65</v>
      </c>
      <c r="D25" s="38" t="s">
        <v>416</v>
      </c>
      <c r="E25" s="40" t="s">
        <v>415</v>
      </c>
      <c r="F25" s="41" t="n">
        <f aca="false">INDEX('Takeoff Detail'!$R:$R,MATCH(E25,'Takeoff Detail'!$A:$A,0))</f>
        <v>9.97777777777777</v>
      </c>
      <c r="G25" s="42" t="str">
        <f aca="false">INDEX('Takeoff Detail'!$P:$P,MATCH(E25,'Takeoff Detail'!$A:$A,0))</f>
        <v>CY</v>
      </c>
      <c r="H25" s="40" t="s">
        <v>415</v>
      </c>
      <c r="I25" s="43" t="n">
        <f aca="false">INDEX('Cost Database'!$E:$E,MATCH(H25,'Cost Database'!$A:$A,0))</f>
        <v>168</v>
      </c>
      <c r="J25" s="43" t="n">
        <f aca="false">INDEX('Cost Database'!$F:$F,MATCH(H25,'Cost Database'!$A:$A,0))</f>
        <v>0</v>
      </c>
      <c r="K25" s="43" t="n">
        <f aca="false">INDEX('Cost Database'!$G:$G,MATCH(H25,'Cost Database'!$A:$A,0))</f>
        <v>0</v>
      </c>
      <c r="L25" s="18" t="n">
        <f aca="false">F25*I25</f>
        <v>1676.26666666667</v>
      </c>
      <c r="M25" s="18" t="n">
        <f aca="false">F25*J25</f>
        <v>0</v>
      </c>
      <c r="N25" s="18" t="n">
        <f aca="false">F25*K25</f>
        <v>0</v>
      </c>
      <c r="O25" s="18" t="n">
        <f aca="false">L25+M25+N25</f>
        <v>1676.26666666667</v>
      </c>
      <c r="P25" s="42" t="str">
        <f aca="false">INDEX('Takeoff Detail'!$U:$U,MATCH(E25,'Takeoff Detail'!$A:$A,0))</f>
        <v>Assumed</v>
      </c>
      <c r="Q25" s="42" t="str">
        <f aca="false">INDEX('Takeoff Detail'!$V:$V,MATCH(E25,'Takeoff Detail'!$A:$A,0))</f>
        <v>Low</v>
      </c>
      <c r="R25" s="19" t="n">
        <f aca="false">O25/Summary!$C$4</f>
        <v>1.23984220907298</v>
      </c>
    </row>
    <row r="26" customFormat="false" ht="15" hidden="false" customHeight="false" outlineLevel="0" collapsed="false">
      <c r="A26" s="40" t="n">
        <v>25</v>
      </c>
      <c r="B26" s="40" t="s">
        <v>64</v>
      </c>
      <c r="C26" s="40" t="s">
        <v>65</v>
      </c>
      <c r="D26" s="38" t="s">
        <v>421</v>
      </c>
      <c r="E26" s="40" t="s">
        <v>420</v>
      </c>
      <c r="F26" s="41" t="n">
        <f aca="false">INDEX('Takeoff Detail'!$R:$R,MATCH(E26,'Takeoff Detail'!$A:$A,0))</f>
        <v>2272.1125</v>
      </c>
      <c r="G26" s="42" t="str">
        <f aca="false">INDEX('Takeoff Detail'!$P:$P,MATCH(E26,'Takeoff Detail'!$A:$A,0))</f>
        <v>SF</v>
      </c>
      <c r="H26" s="40" t="s">
        <v>420</v>
      </c>
      <c r="I26" s="43" t="n">
        <f aca="false">INDEX('Cost Database'!$E:$E,MATCH(H26,'Cost Database'!$A:$A,0))</f>
        <v>0.11</v>
      </c>
      <c r="J26" s="43" t="n">
        <f aca="false">INDEX('Cost Database'!$F:$F,MATCH(H26,'Cost Database'!$A:$A,0))</f>
        <v>0.06</v>
      </c>
      <c r="K26" s="43" t="n">
        <f aca="false">INDEX('Cost Database'!$G:$G,MATCH(H26,'Cost Database'!$A:$A,0))</f>
        <v>0</v>
      </c>
      <c r="L26" s="18" t="n">
        <f aca="false">F26*I26</f>
        <v>249.932375</v>
      </c>
      <c r="M26" s="18" t="n">
        <f aca="false">F26*J26</f>
        <v>136.32675</v>
      </c>
      <c r="N26" s="18" t="n">
        <f aca="false">F26*K26</f>
        <v>0</v>
      </c>
      <c r="O26" s="18" t="n">
        <f aca="false">L26+M26+N26</f>
        <v>386.259125</v>
      </c>
      <c r="P26" s="42" t="str">
        <f aca="false">INDEX('Takeoff Detail'!$U:$U,MATCH(E26,'Takeoff Detail'!$A:$A,0))</f>
        <v>Calculated</v>
      </c>
      <c r="Q26" s="42" t="str">
        <f aca="false">INDEX('Takeoff Detail'!$V:$V,MATCH(E26,'Takeoff Detail'!$A:$A,0))</f>
        <v>High</v>
      </c>
      <c r="R26" s="19" t="n">
        <f aca="false">O26/Summary!$C$4</f>
        <v>0.28569461908284</v>
      </c>
    </row>
    <row r="27" customFormat="false" ht="15" hidden="false" customHeight="false" outlineLevel="0" collapsed="false">
      <c r="A27" s="40" t="n">
        <v>26</v>
      </c>
      <c r="B27" s="40" t="s">
        <v>64</v>
      </c>
      <c r="C27" s="40" t="s">
        <v>65</v>
      </c>
      <c r="D27" s="38" t="s">
        <v>425</v>
      </c>
      <c r="E27" s="40" t="s">
        <v>424</v>
      </c>
      <c r="F27" s="41" t="n">
        <f aca="false">INDEX('Takeoff Detail'!$R:$R,MATCH(E27,'Takeoff Detail'!$A:$A,0))</f>
        <v>1835.9</v>
      </c>
      <c r="G27" s="42" t="str">
        <f aca="false">INDEX('Takeoff Detail'!$P:$P,MATCH(E27,'Takeoff Detail'!$A:$A,0))</f>
        <v>LF</v>
      </c>
      <c r="H27" s="40" t="s">
        <v>424</v>
      </c>
      <c r="I27" s="43" t="n">
        <f aca="false">INDEX('Cost Database'!$E:$E,MATCH(H27,'Cost Database'!$A:$A,0))</f>
        <v>0.85</v>
      </c>
      <c r="J27" s="43" t="n">
        <f aca="false">INDEX('Cost Database'!$F:$F,MATCH(H27,'Cost Database'!$A:$A,0))</f>
        <v>0.35</v>
      </c>
      <c r="K27" s="43" t="n">
        <f aca="false">INDEX('Cost Database'!$G:$G,MATCH(H27,'Cost Database'!$A:$A,0))</f>
        <v>0</v>
      </c>
      <c r="L27" s="18" t="n">
        <f aca="false">F27*I27</f>
        <v>1560.515</v>
      </c>
      <c r="M27" s="18" t="n">
        <f aca="false">F27*J27</f>
        <v>642.565</v>
      </c>
      <c r="N27" s="18" t="n">
        <f aca="false">F27*K27</f>
        <v>0</v>
      </c>
      <c r="O27" s="18" t="n">
        <f aca="false">L27+M27+N27</f>
        <v>2203.08</v>
      </c>
      <c r="P27" s="42" t="str">
        <f aca="false">INDEX('Takeoff Detail'!$U:$U,MATCH(E27,'Takeoff Detail'!$A:$A,0))</f>
        <v>Assumed</v>
      </c>
      <c r="Q27" s="42" t="str">
        <f aca="false">INDEX('Takeoff Detail'!$V:$V,MATCH(E27,'Takeoff Detail'!$A:$A,0))</f>
        <v>Medium</v>
      </c>
      <c r="R27" s="19" t="n">
        <f aca="false">O27/Summary!$C$4</f>
        <v>1.62949704142012</v>
      </c>
    </row>
    <row r="28" customFormat="false" ht="15" hidden="false" customHeight="false" outlineLevel="0" collapsed="false">
      <c r="A28" s="40" t="n">
        <v>27</v>
      </c>
      <c r="B28" s="40" t="s">
        <v>64</v>
      </c>
      <c r="C28" s="40" t="s">
        <v>65</v>
      </c>
      <c r="D28" s="38" t="s">
        <v>430</v>
      </c>
      <c r="E28" s="40" t="s">
        <v>429</v>
      </c>
      <c r="F28" s="41" t="n">
        <f aca="false">INDEX('Takeoff Detail'!$R:$R,MATCH(E28,'Takeoff Detail'!$A:$A,0))</f>
        <v>2897.76666666667</v>
      </c>
      <c r="G28" s="42" t="str">
        <f aca="false">INDEX('Takeoff Detail'!$P:$P,MATCH(E28,'Takeoff Detail'!$A:$A,0))</f>
        <v>LF</v>
      </c>
      <c r="H28" s="40" t="s">
        <v>429</v>
      </c>
      <c r="I28" s="43" t="n">
        <f aca="false">INDEX('Cost Database'!$E:$E,MATCH(H28,'Cost Database'!$A:$A,0))</f>
        <v>0.32</v>
      </c>
      <c r="J28" s="43" t="n">
        <f aca="false">INDEX('Cost Database'!$F:$F,MATCH(H28,'Cost Database'!$A:$A,0))</f>
        <v>0.18</v>
      </c>
      <c r="K28" s="43" t="n">
        <f aca="false">INDEX('Cost Database'!$G:$G,MATCH(H28,'Cost Database'!$A:$A,0))</f>
        <v>0</v>
      </c>
      <c r="L28" s="18" t="n">
        <f aca="false">F28*I28</f>
        <v>927.285333333333</v>
      </c>
      <c r="M28" s="18" t="n">
        <f aca="false">F28*J28</f>
        <v>521.598</v>
      </c>
      <c r="N28" s="18" t="n">
        <f aca="false">F28*K28</f>
        <v>0</v>
      </c>
      <c r="O28" s="18" t="n">
        <f aca="false">L28+M28+N28</f>
        <v>1448.88333333333</v>
      </c>
      <c r="P28" s="42" t="str">
        <f aca="false">INDEX('Takeoff Detail'!$U:$U,MATCH(E28,'Takeoff Detail'!$A:$A,0))</f>
        <v>Assumed</v>
      </c>
      <c r="Q28" s="42" t="str">
        <f aca="false">INDEX('Takeoff Detail'!$V:$V,MATCH(E28,'Takeoff Detail'!$A:$A,0))</f>
        <v>Medium</v>
      </c>
      <c r="R28" s="19" t="n">
        <f aca="false">O28/Summary!$C$4</f>
        <v>1.07165927021696</v>
      </c>
    </row>
    <row r="29" customFormat="false" ht="15" hidden="false" customHeight="false" outlineLevel="0" collapsed="false">
      <c r="A29" s="40" t="n">
        <v>28</v>
      </c>
      <c r="B29" s="40" t="s">
        <v>64</v>
      </c>
      <c r="C29" s="40" t="s">
        <v>65</v>
      </c>
      <c r="D29" s="38" t="s">
        <v>433</v>
      </c>
      <c r="E29" s="40" t="s">
        <v>432</v>
      </c>
      <c r="F29" s="41" t="n">
        <f aca="false">INDEX('Takeoff Detail'!$R:$R,MATCH(E29,'Takeoff Detail'!$A:$A,0))</f>
        <v>1975.75</v>
      </c>
      <c r="G29" s="42" t="str">
        <f aca="false">INDEX('Takeoff Detail'!$P:$P,MATCH(E29,'Takeoff Detail'!$A:$A,0))</f>
        <v>SF</v>
      </c>
      <c r="H29" s="40" t="s">
        <v>432</v>
      </c>
      <c r="I29" s="43" t="n">
        <f aca="false">INDEX('Cost Database'!$E:$E,MATCH(H29,'Cost Database'!$A:$A,0))</f>
        <v>0.22</v>
      </c>
      <c r="J29" s="43" t="n">
        <f aca="false">INDEX('Cost Database'!$F:$F,MATCH(H29,'Cost Database'!$A:$A,0))</f>
        <v>0</v>
      </c>
      <c r="K29" s="43" t="n">
        <f aca="false">INDEX('Cost Database'!$G:$G,MATCH(H29,'Cost Database'!$A:$A,0))</f>
        <v>0</v>
      </c>
      <c r="L29" s="18" t="n">
        <f aca="false">F29*I29</f>
        <v>434.665</v>
      </c>
      <c r="M29" s="18" t="n">
        <f aca="false">F29*J29</f>
        <v>0</v>
      </c>
      <c r="N29" s="18" t="n">
        <f aca="false">F29*K29</f>
        <v>0</v>
      </c>
      <c r="O29" s="18" t="n">
        <f aca="false">L29+M29+N29</f>
        <v>434.665</v>
      </c>
      <c r="P29" s="42" t="str">
        <f aca="false">INDEX('Takeoff Detail'!$U:$U,MATCH(E29,'Takeoff Detail'!$A:$A,0))</f>
        <v>Calculated</v>
      </c>
      <c r="Q29" s="42" t="str">
        <f aca="false">INDEX('Takeoff Detail'!$V:$V,MATCH(E29,'Takeoff Detail'!$A:$A,0))</f>
        <v>High</v>
      </c>
      <c r="R29" s="19" t="n">
        <f aca="false">O29/Summary!$C$4</f>
        <v>0.321497781065089</v>
      </c>
    </row>
    <row r="30" customFormat="false" ht="15" hidden="false" customHeight="false" outlineLevel="0" collapsed="false">
      <c r="A30" s="40" t="n">
        <v>29</v>
      </c>
      <c r="B30" s="40" t="s">
        <v>64</v>
      </c>
      <c r="C30" s="40" t="s">
        <v>65</v>
      </c>
      <c r="D30" s="38" t="s">
        <v>436</v>
      </c>
      <c r="E30" s="40" t="s">
        <v>435</v>
      </c>
      <c r="F30" s="41" t="n">
        <f aca="false">INDEX('Takeoff Detail'!$R:$R,MATCH(E30,'Takeoff Detail'!$A:$A,0))</f>
        <v>1975.75</v>
      </c>
      <c r="G30" s="42" t="str">
        <f aca="false">INDEX('Takeoff Detail'!$P:$P,MATCH(E30,'Takeoff Detail'!$A:$A,0))</f>
        <v>SF</v>
      </c>
      <c r="H30" s="40" t="s">
        <v>435</v>
      </c>
      <c r="I30" s="43" t="n">
        <f aca="false">INDEX('Cost Database'!$E:$E,MATCH(H30,'Cost Database'!$A:$A,0))</f>
        <v>0</v>
      </c>
      <c r="J30" s="43" t="n">
        <f aca="false">INDEX('Cost Database'!$F:$F,MATCH(H30,'Cost Database'!$A:$A,0))</f>
        <v>3</v>
      </c>
      <c r="K30" s="43" t="n">
        <f aca="false">INDEX('Cost Database'!$G:$G,MATCH(H30,'Cost Database'!$A:$A,0))</f>
        <v>0</v>
      </c>
      <c r="L30" s="18" t="n">
        <f aca="false">F30*I30</f>
        <v>0</v>
      </c>
      <c r="M30" s="18" t="n">
        <f aca="false">F30*J30</f>
        <v>5927.25</v>
      </c>
      <c r="N30" s="18" t="n">
        <f aca="false">F30*K30</f>
        <v>0</v>
      </c>
      <c r="O30" s="18" t="n">
        <f aca="false">L30+M30+N30</f>
        <v>5927.25</v>
      </c>
      <c r="P30" s="42" t="str">
        <f aca="false">INDEX('Takeoff Detail'!$U:$U,MATCH(E30,'Takeoff Detail'!$A:$A,0))</f>
        <v>Calculated</v>
      </c>
      <c r="Q30" s="42" t="str">
        <f aca="false">INDEX('Takeoff Detail'!$V:$V,MATCH(E30,'Takeoff Detail'!$A:$A,0))</f>
        <v>High</v>
      </c>
      <c r="R30" s="19" t="n">
        <f aca="false">O30/Summary!$C$4</f>
        <v>4.38406065088757</v>
      </c>
    </row>
    <row r="31" customFormat="false" ht="15" hidden="false" customHeight="false" outlineLevel="0" collapsed="false">
      <c r="A31" s="40" t="n">
        <v>30</v>
      </c>
      <c r="B31" s="40" t="s">
        <v>64</v>
      </c>
      <c r="C31" s="40" t="s">
        <v>65</v>
      </c>
      <c r="D31" s="38" t="s">
        <v>438</v>
      </c>
      <c r="E31" s="40" t="s">
        <v>437</v>
      </c>
      <c r="F31" s="41" t="n">
        <f aca="false">INDEX('Takeoff Detail'!$R:$R,MATCH(E31,'Takeoff Detail'!$A:$A,0))</f>
        <v>1</v>
      </c>
      <c r="G31" s="42" t="str">
        <f aca="false">INDEX('Takeoff Detail'!$P:$P,MATCH(E31,'Takeoff Detail'!$A:$A,0))</f>
        <v>LS</v>
      </c>
      <c r="H31" s="40" t="s">
        <v>437</v>
      </c>
      <c r="I31" s="43" t="n">
        <f aca="false">INDEX('Cost Database'!$E:$E,MATCH(H31,'Cost Database'!$A:$A,0))</f>
        <v>0</v>
      </c>
      <c r="J31" s="43" t="n">
        <f aca="false">INDEX('Cost Database'!$F:$F,MATCH(H31,'Cost Database'!$A:$A,0))</f>
        <v>0</v>
      </c>
      <c r="K31" s="43" t="n">
        <f aca="false">INDEX('Cost Database'!$G:$G,MATCH(H31,'Cost Database'!$A:$A,0))</f>
        <v>1150</v>
      </c>
      <c r="L31" s="18" t="n">
        <f aca="false">F31*I31</f>
        <v>0</v>
      </c>
      <c r="M31" s="18" t="n">
        <f aca="false">F31*J31</f>
        <v>0</v>
      </c>
      <c r="N31" s="18" t="n">
        <f aca="false">F31*K31</f>
        <v>1150</v>
      </c>
      <c r="O31" s="18" t="n">
        <f aca="false">L31+M31+N31</f>
        <v>1150</v>
      </c>
      <c r="P31" s="42" t="str">
        <f aca="false">INDEX('Takeoff Detail'!$U:$U,MATCH(E31,'Takeoff Detail'!$A:$A,0))</f>
        <v>Allowance</v>
      </c>
      <c r="Q31" s="42" t="str">
        <f aca="false">INDEX('Takeoff Detail'!$V:$V,MATCH(E31,'Takeoff Detail'!$A:$A,0))</f>
        <v>Medium</v>
      </c>
      <c r="R31" s="19" t="n">
        <f aca="false">O31/Summary!$C$4</f>
        <v>0.850591715976331</v>
      </c>
    </row>
    <row r="32" customFormat="false" ht="28.35" hidden="false" customHeight="false" outlineLevel="0" collapsed="false">
      <c r="A32" s="40" t="n">
        <v>31</v>
      </c>
      <c r="B32" s="40" t="s">
        <v>64</v>
      </c>
      <c r="C32" s="40" t="s">
        <v>65</v>
      </c>
      <c r="D32" s="38" t="s">
        <v>441</v>
      </c>
      <c r="E32" s="40" t="s">
        <v>440</v>
      </c>
      <c r="F32" s="41" t="n">
        <f aca="false">INDEX('Takeoff Detail'!$R:$R,MATCH(E32,'Takeoff Detail'!$A:$A,0))</f>
        <v>1347.5</v>
      </c>
      <c r="G32" s="42" t="str">
        <f aca="false">INDEX('Takeoff Detail'!$P:$P,MATCH(E32,'Takeoff Detail'!$A:$A,0))</f>
        <v>SF</v>
      </c>
      <c r="H32" s="40" t="s">
        <v>440</v>
      </c>
      <c r="I32" s="43" t="n">
        <f aca="false">INDEX('Cost Database'!$E:$E,MATCH(H32,'Cost Database'!$A:$A,0))</f>
        <v>0</v>
      </c>
      <c r="J32" s="43" t="n">
        <f aca="false">INDEX('Cost Database'!$F:$F,MATCH(H32,'Cost Database'!$A:$A,0))</f>
        <v>0</v>
      </c>
      <c r="K32" s="43" t="n">
        <f aca="false">INDEX('Cost Database'!$G:$G,MATCH(H32,'Cost Database'!$A:$A,0))</f>
        <v>2.4</v>
      </c>
      <c r="L32" s="18" t="n">
        <f aca="false">F32*I32</f>
        <v>0</v>
      </c>
      <c r="M32" s="18" t="n">
        <f aca="false">F32*J32</f>
        <v>0</v>
      </c>
      <c r="N32" s="18" t="n">
        <f aca="false">F32*K32</f>
        <v>3234</v>
      </c>
      <c r="O32" s="18" t="n">
        <f aca="false">L32+M32+N32</f>
        <v>3234</v>
      </c>
      <c r="P32" s="42" t="str">
        <f aca="false">INDEX('Takeoff Detail'!$U:$U,MATCH(E32,'Takeoff Detail'!$A:$A,0))</f>
        <v>Calculated</v>
      </c>
      <c r="Q32" s="42" t="str">
        <f aca="false">INDEX('Takeoff Detail'!$V:$V,MATCH(E32,'Takeoff Detail'!$A:$A,0))</f>
        <v>High</v>
      </c>
      <c r="R32" s="19" t="n">
        <f aca="false">O32/Summary!$C$4</f>
        <v>2.39201183431953</v>
      </c>
    </row>
    <row r="33" customFormat="false" ht="15" hidden="false" customHeight="false" outlineLevel="0" collapsed="false">
      <c r="A33" s="40" t="n">
        <v>32</v>
      </c>
      <c r="B33" s="40" t="s">
        <v>64</v>
      </c>
      <c r="C33" s="40" t="s">
        <v>65</v>
      </c>
      <c r="D33" s="38" t="s">
        <v>445</v>
      </c>
      <c r="E33" s="40" t="s">
        <v>444</v>
      </c>
      <c r="F33" s="41" t="n">
        <f aca="false">INDEX('Takeoff Detail'!$R:$R,MATCH(E33,'Takeoff Detail'!$A:$A,0))</f>
        <v>124.25</v>
      </c>
      <c r="G33" s="42" t="str">
        <f aca="false">INDEX('Takeoff Detail'!$P:$P,MATCH(E33,'Takeoff Detail'!$A:$A,0))</f>
        <v>SF</v>
      </c>
      <c r="H33" s="40" t="s">
        <v>444</v>
      </c>
      <c r="I33" s="43" t="n">
        <f aca="false">INDEX('Cost Database'!$E:$E,MATCH(H33,'Cost Database'!$A:$A,0))</f>
        <v>0.35</v>
      </c>
      <c r="J33" s="43" t="n">
        <f aca="false">INDEX('Cost Database'!$F:$F,MATCH(H33,'Cost Database'!$A:$A,0))</f>
        <v>0.4</v>
      </c>
      <c r="K33" s="43" t="n">
        <f aca="false">INDEX('Cost Database'!$G:$G,MATCH(H33,'Cost Database'!$A:$A,0))</f>
        <v>0</v>
      </c>
      <c r="L33" s="18" t="n">
        <f aca="false">F33*I33</f>
        <v>43.4875</v>
      </c>
      <c r="M33" s="18" t="n">
        <f aca="false">F33*J33</f>
        <v>49.7</v>
      </c>
      <c r="N33" s="18" t="n">
        <f aca="false">F33*K33</f>
        <v>0</v>
      </c>
      <c r="O33" s="18" t="n">
        <f aca="false">L33+M33+N33</f>
        <v>93.1875000000001</v>
      </c>
      <c r="P33" s="42" t="str">
        <f aca="false">INDEX('Takeoff Detail'!$U:$U,MATCH(E33,'Takeoff Detail'!$A:$A,0))</f>
        <v>Calculated</v>
      </c>
      <c r="Q33" s="42" t="str">
        <f aca="false">INDEX('Takeoff Detail'!$V:$V,MATCH(E33,'Takeoff Detail'!$A:$A,0))</f>
        <v>High</v>
      </c>
      <c r="R33" s="19" t="n">
        <f aca="false">O33/Summary!$C$4</f>
        <v>0.0689256656804734</v>
      </c>
    </row>
    <row r="34" customFormat="false" ht="15" hidden="false" customHeight="false" outlineLevel="0" collapsed="false">
      <c r="A34" s="40" t="n">
        <v>33</v>
      </c>
      <c r="B34" s="40" t="s">
        <v>64</v>
      </c>
      <c r="C34" s="40" t="s">
        <v>65</v>
      </c>
      <c r="D34" s="38" t="s">
        <v>450</v>
      </c>
      <c r="E34" s="40" t="s">
        <v>449</v>
      </c>
      <c r="F34" s="41" t="n">
        <f aca="false">INDEX('Takeoff Detail'!$R:$R,MATCH(E34,'Takeoff Detail'!$A:$A,0))</f>
        <v>46</v>
      </c>
      <c r="G34" s="42" t="str">
        <f aca="false">INDEX('Takeoff Detail'!$P:$P,MATCH(E34,'Takeoff Detail'!$A:$A,0))</f>
        <v>EA</v>
      </c>
      <c r="H34" s="40" t="s">
        <v>449</v>
      </c>
      <c r="I34" s="43" t="n">
        <f aca="false">INDEX('Cost Database'!$E:$E,MATCH(H34,'Cost Database'!$A:$A,0))</f>
        <v>2.75</v>
      </c>
      <c r="J34" s="43" t="n">
        <f aca="false">INDEX('Cost Database'!$F:$F,MATCH(H34,'Cost Database'!$A:$A,0))</f>
        <v>1.5</v>
      </c>
      <c r="K34" s="43" t="n">
        <f aca="false">INDEX('Cost Database'!$G:$G,MATCH(H34,'Cost Database'!$A:$A,0))</f>
        <v>0</v>
      </c>
      <c r="L34" s="18" t="n">
        <f aca="false">F34*I34</f>
        <v>126.5</v>
      </c>
      <c r="M34" s="18" t="n">
        <f aca="false">F34*J34</f>
        <v>69</v>
      </c>
      <c r="N34" s="18" t="n">
        <f aca="false">F34*K34</f>
        <v>0</v>
      </c>
      <c r="O34" s="18" t="n">
        <f aca="false">L34+M34+N34</f>
        <v>195.5</v>
      </c>
      <c r="P34" s="42" t="str">
        <f aca="false">INDEX('Takeoff Detail'!$U:$U,MATCH(E34,'Takeoff Detail'!$A:$A,0))</f>
        <v>Calculated</v>
      </c>
      <c r="Q34" s="42" t="str">
        <f aca="false">INDEX('Takeoff Detail'!$V:$V,MATCH(E34,'Takeoff Detail'!$A:$A,0))</f>
        <v>Medium</v>
      </c>
      <c r="R34" s="19" t="n">
        <f aca="false">O34/Summary!$C$4</f>
        <v>0.144600591715976</v>
      </c>
    </row>
    <row r="35" customFormat="false" ht="15" hidden="false" customHeight="false" outlineLevel="0" collapsed="false">
      <c r="A35" s="40" t="n">
        <v>34</v>
      </c>
      <c r="B35" s="40" t="s">
        <v>64</v>
      </c>
      <c r="C35" s="40" t="s">
        <v>65</v>
      </c>
      <c r="D35" s="38" t="s">
        <v>454</v>
      </c>
      <c r="E35" s="40" t="s">
        <v>453</v>
      </c>
      <c r="F35" s="41" t="n">
        <f aca="false">INDEX('Takeoff Detail'!$R:$R,MATCH(E35,'Takeoff Detail'!$A:$A,0))</f>
        <v>120</v>
      </c>
      <c r="G35" s="42" t="str">
        <f aca="false">INDEX('Takeoff Detail'!$P:$P,MATCH(E35,'Takeoff Detail'!$A:$A,0))</f>
        <v>LF</v>
      </c>
      <c r="H35" s="40" t="s">
        <v>453</v>
      </c>
      <c r="I35" s="43" t="n">
        <f aca="false">INDEX('Cost Database'!$E:$E,MATCH(H35,'Cost Database'!$A:$A,0))</f>
        <v>0</v>
      </c>
      <c r="J35" s="43" t="n">
        <f aca="false">INDEX('Cost Database'!$F:$F,MATCH(H35,'Cost Database'!$A:$A,0))</f>
        <v>0</v>
      </c>
      <c r="K35" s="43" t="n">
        <f aca="false">INDEX('Cost Database'!$G:$G,MATCH(H35,'Cost Database'!$A:$A,0))</f>
        <v>1.75</v>
      </c>
      <c r="L35" s="18" t="n">
        <f aca="false">F35*I35</f>
        <v>0</v>
      </c>
      <c r="M35" s="18" t="n">
        <f aca="false">F35*J35</f>
        <v>0</v>
      </c>
      <c r="N35" s="18" t="n">
        <f aca="false">F35*K35</f>
        <v>210</v>
      </c>
      <c r="O35" s="18" t="n">
        <f aca="false">L35+M35+N35</f>
        <v>210</v>
      </c>
      <c r="P35" s="42" t="str">
        <f aca="false">INDEX('Takeoff Detail'!$U:$U,MATCH(E35,'Takeoff Detail'!$A:$A,0))</f>
        <v>Assumed</v>
      </c>
      <c r="Q35" s="42" t="str">
        <f aca="false">INDEX('Takeoff Detail'!$V:$V,MATCH(E35,'Takeoff Detail'!$A:$A,0))</f>
        <v>Medium</v>
      </c>
      <c r="R35" s="19" t="n">
        <f aca="false">O35/Summary!$C$4</f>
        <v>0.155325443786982</v>
      </c>
    </row>
    <row r="36" customFormat="false" ht="15" hidden="false" customHeight="false" outlineLevel="0" collapsed="false">
      <c r="A36" s="40" t="n">
        <v>35</v>
      </c>
      <c r="B36" s="40" t="s">
        <v>64</v>
      </c>
      <c r="C36" s="40" t="s">
        <v>65</v>
      </c>
      <c r="D36" s="38" t="s">
        <v>457</v>
      </c>
      <c r="E36" s="40" t="s">
        <v>456</v>
      </c>
      <c r="F36" s="41" t="n">
        <f aca="false">INDEX('Takeoff Detail'!$R:$R,MATCH(E36,'Takeoff Detail'!$A:$A,0))</f>
        <v>2</v>
      </c>
      <c r="G36" s="42" t="str">
        <f aca="false">INDEX('Takeoff Detail'!$P:$P,MATCH(E36,'Takeoff Detail'!$A:$A,0))</f>
        <v>EA</v>
      </c>
      <c r="H36" s="40" t="s">
        <v>456</v>
      </c>
      <c r="I36" s="43" t="n">
        <f aca="false">INDEX('Cost Database'!$E:$E,MATCH(H36,'Cost Database'!$A:$A,0))</f>
        <v>55</v>
      </c>
      <c r="J36" s="43" t="n">
        <f aca="false">INDEX('Cost Database'!$F:$F,MATCH(H36,'Cost Database'!$A:$A,0))</f>
        <v>0</v>
      </c>
      <c r="K36" s="43" t="n">
        <f aca="false">INDEX('Cost Database'!$G:$G,MATCH(H36,'Cost Database'!$A:$A,0))</f>
        <v>240</v>
      </c>
      <c r="L36" s="18" t="n">
        <f aca="false">F36*I36</f>
        <v>110</v>
      </c>
      <c r="M36" s="18" t="n">
        <f aca="false">F36*J36</f>
        <v>0</v>
      </c>
      <c r="N36" s="18" t="n">
        <f aca="false">F36*K36</f>
        <v>480</v>
      </c>
      <c r="O36" s="18" t="n">
        <f aca="false">L36+M36+N36</f>
        <v>590</v>
      </c>
      <c r="P36" s="42" t="str">
        <f aca="false">INDEX('Takeoff Detail'!$U:$U,MATCH(E36,'Takeoff Detail'!$A:$A,0))</f>
        <v>Measured</v>
      </c>
      <c r="Q36" s="42" t="str">
        <f aca="false">INDEX('Takeoff Detail'!$V:$V,MATCH(E36,'Takeoff Detail'!$A:$A,0))</f>
        <v>Medium</v>
      </c>
      <c r="R36" s="19" t="n">
        <f aca="false">O36/Summary!$C$4</f>
        <v>0.436390532544379</v>
      </c>
    </row>
    <row r="37" customFormat="false" ht="15" hidden="false" customHeight="false" outlineLevel="0" collapsed="false">
      <c r="A37" s="40" t="n">
        <v>36</v>
      </c>
      <c r="B37" s="40" t="s">
        <v>66</v>
      </c>
      <c r="C37" s="40" t="s">
        <v>67</v>
      </c>
      <c r="D37" s="38" t="s">
        <v>463</v>
      </c>
      <c r="E37" s="40" t="s">
        <v>462</v>
      </c>
      <c r="F37" s="41" t="n">
        <f aca="false">INDEX('Takeoff Detail'!$R:$R,MATCH(E37,'Takeoff Detail'!$A:$A,0))</f>
        <v>200.387</v>
      </c>
      <c r="G37" s="42" t="str">
        <f aca="false">INDEX('Takeoff Detail'!$P:$P,MATCH(E37,'Takeoff Detail'!$A:$A,0))</f>
        <v>LF</v>
      </c>
      <c r="H37" s="40" t="s">
        <v>462</v>
      </c>
      <c r="I37" s="43" t="n">
        <f aca="false">INDEX('Cost Database'!$E:$E,MATCH(H37,'Cost Database'!$A:$A,0))</f>
        <v>1.15</v>
      </c>
      <c r="J37" s="43" t="n">
        <f aca="false">INDEX('Cost Database'!$F:$F,MATCH(H37,'Cost Database'!$A:$A,0))</f>
        <v>0</v>
      </c>
      <c r="K37" s="43" t="n">
        <f aca="false">INDEX('Cost Database'!$G:$G,MATCH(H37,'Cost Database'!$A:$A,0))</f>
        <v>0</v>
      </c>
      <c r="L37" s="18" t="n">
        <f aca="false">F37*I37</f>
        <v>230.44505</v>
      </c>
      <c r="M37" s="18" t="n">
        <f aca="false">F37*J37</f>
        <v>0</v>
      </c>
      <c r="N37" s="18" t="n">
        <f aca="false">F37*K37</f>
        <v>0</v>
      </c>
      <c r="O37" s="18" t="n">
        <f aca="false">L37+M37+N37</f>
        <v>230.44505</v>
      </c>
      <c r="P37" s="42" t="str">
        <f aca="false">INDEX('Takeoff Detail'!$U:$U,MATCH(E37,'Takeoff Detail'!$A:$A,0))</f>
        <v>Calculated</v>
      </c>
      <c r="Q37" s="42" t="str">
        <f aca="false">INDEX('Takeoff Detail'!$V:$V,MATCH(E37,'Takeoff Detail'!$A:$A,0))</f>
        <v>High</v>
      </c>
      <c r="R37" s="19" t="n">
        <f aca="false">O37/Summary!$C$4</f>
        <v>0.170447522189349</v>
      </c>
    </row>
    <row r="38" customFormat="false" ht="15" hidden="false" customHeight="false" outlineLevel="0" collapsed="false">
      <c r="A38" s="40" t="n">
        <v>37</v>
      </c>
      <c r="B38" s="40" t="s">
        <v>66</v>
      </c>
      <c r="C38" s="40" t="s">
        <v>67</v>
      </c>
      <c r="D38" s="38" t="s">
        <v>466</v>
      </c>
      <c r="E38" s="40" t="s">
        <v>465</v>
      </c>
      <c r="F38" s="41" t="n">
        <f aca="false">INDEX('Takeoff Detail'!$R:$R,MATCH(E38,'Takeoff Detail'!$A:$A,0))</f>
        <v>400.774</v>
      </c>
      <c r="G38" s="42" t="str">
        <f aca="false">INDEX('Takeoff Detail'!$P:$P,MATCH(E38,'Takeoff Detail'!$A:$A,0))</f>
        <v>LF</v>
      </c>
      <c r="H38" s="40" t="s">
        <v>465</v>
      </c>
      <c r="I38" s="43" t="n">
        <f aca="false">INDEX('Cost Database'!$E:$E,MATCH(H38,'Cost Database'!$A:$A,0))</f>
        <v>0.95</v>
      </c>
      <c r="J38" s="43" t="n">
        <f aca="false">INDEX('Cost Database'!$F:$F,MATCH(H38,'Cost Database'!$A:$A,0))</f>
        <v>0</v>
      </c>
      <c r="K38" s="43" t="n">
        <f aca="false">INDEX('Cost Database'!$G:$G,MATCH(H38,'Cost Database'!$A:$A,0))</f>
        <v>0</v>
      </c>
      <c r="L38" s="18" t="n">
        <f aca="false">F38*I38</f>
        <v>380.7353</v>
      </c>
      <c r="M38" s="18" t="n">
        <f aca="false">F38*J38</f>
        <v>0</v>
      </c>
      <c r="N38" s="18" t="n">
        <f aca="false">F38*K38</f>
        <v>0</v>
      </c>
      <c r="O38" s="18" t="n">
        <f aca="false">L38+M38+N38</f>
        <v>380.7353</v>
      </c>
      <c r="P38" s="42" t="str">
        <f aca="false">INDEX('Takeoff Detail'!$U:$U,MATCH(E38,'Takeoff Detail'!$A:$A,0))</f>
        <v>Calculated</v>
      </c>
      <c r="Q38" s="42" t="str">
        <f aca="false">INDEX('Takeoff Detail'!$V:$V,MATCH(E38,'Takeoff Detail'!$A:$A,0))</f>
        <v>High</v>
      </c>
      <c r="R38" s="19" t="n">
        <f aca="false">O38/Summary!$C$4</f>
        <v>0.281608949704142</v>
      </c>
    </row>
    <row r="39" customFormat="false" ht="15" hidden="false" customHeight="false" outlineLevel="0" collapsed="false">
      <c r="A39" s="40" t="n">
        <v>38</v>
      </c>
      <c r="B39" s="40" t="s">
        <v>66</v>
      </c>
      <c r="C39" s="40" t="s">
        <v>67</v>
      </c>
      <c r="D39" s="38" t="s">
        <v>469</v>
      </c>
      <c r="E39" s="40" t="s">
        <v>468</v>
      </c>
      <c r="F39" s="41" t="n">
        <f aca="false">INDEX('Takeoff Detail'!$R:$R,MATCH(E39,'Takeoff Detail'!$A:$A,0))</f>
        <v>229</v>
      </c>
      <c r="G39" s="42" t="str">
        <f aca="false">INDEX('Takeoff Detail'!$P:$P,MATCH(E39,'Takeoff Detail'!$A:$A,0))</f>
        <v>EA</v>
      </c>
      <c r="H39" s="40" t="s">
        <v>468</v>
      </c>
      <c r="I39" s="43" t="n">
        <f aca="false">INDEX('Cost Database'!$E:$E,MATCH(H39,'Cost Database'!$A:$A,0))</f>
        <v>9.25</v>
      </c>
      <c r="J39" s="43" t="n">
        <f aca="false">INDEX('Cost Database'!$F:$F,MATCH(H39,'Cost Database'!$A:$A,0))</f>
        <v>0</v>
      </c>
      <c r="K39" s="43" t="n">
        <f aca="false">INDEX('Cost Database'!$G:$G,MATCH(H39,'Cost Database'!$A:$A,0))</f>
        <v>0</v>
      </c>
      <c r="L39" s="18" t="n">
        <f aca="false">F39*I39</f>
        <v>2118.25</v>
      </c>
      <c r="M39" s="18" t="n">
        <f aca="false">F39*J39</f>
        <v>0</v>
      </c>
      <c r="N39" s="18" t="n">
        <f aca="false">F39*K39</f>
        <v>0</v>
      </c>
      <c r="O39" s="18" t="n">
        <f aca="false">L39+M39+N39</f>
        <v>2118.25</v>
      </c>
      <c r="P39" s="42" t="str">
        <f aca="false">INDEX('Takeoff Detail'!$U:$U,MATCH(E39,'Takeoff Detail'!$A:$A,0))</f>
        <v>Calculated</v>
      </c>
      <c r="Q39" s="42" t="str">
        <f aca="false">INDEX('Takeoff Detail'!$V:$V,MATCH(E39,'Takeoff Detail'!$A:$A,0))</f>
        <v>Medium</v>
      </c>
      <c r="R39" s="19" t="n">
        <f aca="false">O39/Summary!$C$4</f>
        <v>1.56675295857988</v>
      </c>
    </row>
    <row r="40" customFormat="false" ht="15" hidden="false" customHeight="false" outlineLevel="0" collapsed="false">
      <c r="A40" s="40" t="n">
        <v>39</v>
      </c>
      <c r="B40" s="40" t="s">
        <v>66</v>
      </c>
      <c r="C40" s="40" t="s">
        <v>67</v>
      </c>
      <c r="D40" s="38" t="s">
        <v>473</v>
      </c>
      <c r="E40" s="40" t="s">
        <v>472</v>
      </c>
      <c r="F40" s="41" t="n">
        <f aca="false">INDEX('Takeoff Detail'!$R:$R,MATCH(E40,'Takeoff Detail'!$A:$A,0))</f>
        <v>151.8</v>
      </c>
      <c r="G40" s="42" t="str">
        <f aca="false">INDEX('Takeoff Detail'!$P:$P,MATCH(E40,'Takeoff Detail'!$A:$A,0))</f>
        <v>LF</v>
      </c>
      <c r="H40" s="40" t="s">
        <v>472</v>
      </c>
      <c r="I40" s="43" t="n">
        <f aca="false">INDEX('Cost Database'!$E:$E,MATCH(H40,'Cost Database'!$A:$A,0))</f>
        <v>1.75</v>
      </c>
      <c r="J40" s="43" t="n">
        <f aca="false">INDEX('Cost Database'!$F:$F,MATCH(H40,'Cost Database'!$A:$A,0))</f>
        <v>0</v>
      </c>
      <c r="K40" s="43" t="n">
        <f aca="false">INDEX('Cost Database'!$G:$G,MATCH(H40,'Cost Database'!$A:$A,0))</f>
        <v>0</v>
      </c>
      <c r="L40" s="18" t="n">
        <f aca="false">F40*I40</f>
        <v>265.65</v>
      </c>
      <c r="M40" s="18" t="n">
        <f aca="false">F40*J40</f>
        <v>0</v>
      </c>
      <c r="N40" s="18" t="n">
        <f aca="false">F40*K40</f>
        <v>0</v>
      </c>
      <c r="O40" s="18" t="n">
        <f aca="false">L40+M40+N40</f>
        <v>265.65</v>
      </c>
      <c r="P40" s="42" t="str">
        <f aca="false">INDEX('Takeoff Detail'!$U:$U,MATCH(E40,'Takeoff Detail'!$A:$A,0))</f>
        <v>Calculated</v>
      </c>
      <c r="Q40" s="42" t="str">
        <f aca="false">INDEX('Takeoff Detail'!$V:$V,MATCH(E40,'Takeoff Detail'!$A:$A,0))</f>
        <v>Medium</v>
      </c>
      <c r="R40" s="19" t="n">
        <f aca="false">O40/Summary!$C$4</f>
        <v>0.196486686390533</v>
      </c>
    </row>
    <row r="41" customFormat="false" ht="15" hidden="false" customHeight="false" outlineLevel="0" collapsed="false">
      <c r="A41" s="40" t="n">
        <v>40</v>
      </c>
      <c r="B41" s="40" t="s">
        <v>66</v>
      </c>
      <c r="C41" s="40" t="s">
        <v>67</v>
      </c>
      <c r="D41" s="38" t="s">
        <v>478</v>
      </c>
      <c r="E41" s="40" t="s">
        <v>477</v>
      </c>
      <c r="F41" s="41" t="n">
        <f aca="false">INDEX('Takeoff Detail'!$R:$R,MATCH(E41,'Takeoff Detail'!$A:$A,0))</f>
        <v>152.416</v>
      </c>
      <c r="G41" s="42" t="str">
        <f aca="false">INDEX('Takeoff Detail'!$P:$P,MATCH(E41,'Takeoff Detail'!$A:$A,0))</f>
        <v>LF</v>
      </c>
      <c r="H41" s="40" t="s">
        <v>477</v>
      </c>
      <c r="I41" s="43" t="n">
        <f aca="false">INDEX('Cost Database'!$E:$E,MATCH(H41,'Cost Database'!$A:$A,0))</f>
        <v>0.8</v>
      </c>
      <c r="J41" s="43" t="n">
        <f aca="false">INDEX('Cost Database'!$F:$F,MATCH(H41,'Cost Database'!$A:$A,0))</f>
        <v>0</v>
      </c>
      <c r="K41" s="43" t="n">
        <f aca="false">INDEX('Cost Database'!$G:$G,MATCH(H41,'Cost Database'!$A:$A,0))</f>
        <v>0</v>
      </c>
      <c r="L41" s="18" t="n">
        <f aca="false">F41*I41</f>
        <v>121.9328</v>
      </c>
      <c r="M41" s="18" t="n">
        <f aca="false">F41*J41</f>
        <v>0</v>
      </c>
      <c r="N41" s="18" t="n">
        <f aca="false">F41*K41</f>
        <v>0</v>
      </c>
      <c r="O41" s="18" t="n">
        <f aca="false">L41+M41+N41</f>
        <v>121.9328</v>
      </c>
      <c r="P41" s="42" t="str">
        <f aca="false">INDEX('Takeoff Detail'!$U:$U,MATCH(E41,'Takeoff Detail'!$A:$A,0))</f>
        <v>Measured</v>
      </c>
      <c r="Q41" s="42" t="str">
        <f aca="false">INDEX('Takeoff Detail'!$V:$V,MATCH(E41,'Takeoff Detail'!$A:$A,0))</f>
        <v>Medium</v>
      </c>
      <c r="R41" s="19" t="n">
        <f aca="false">O41/Summary!$C$4</f>
        <v>0.0901869822485207</v>
      </c>
    </row>
    <row r="42" customFormat="false" ht="15" hidden="false" customHeight="false" outlineLevel="0" collapsed="false">
      <c r="A42" s="40" t="n">
        <v>41</v>
      </c>
      <c r="B42" s="40" t="s">
        <v>66</v>
      </c>
      <c r="C42" s="40" t="s">
        <v>67</v>
      </c>
      <c r="D42" s="38" t="s">
        <v>482</v>
      </c>
      <c r="E42" s="40" t="s">
        <v>481</v>
      </c>
      <c r="F42" s="41" t="n">
        <f aca="false">INDEX('Takeoff Detail'!$R:$R,MATCH(E42,'Takeoff Detail'!$A:$A,0))</f>
        <v>304.832</v>
      </c>
      <c r="G42" s="42" t="str">
        <f aca="false">INDEX('Takeoff Detail'!$P:$P,MATCH(E42,'Takeoff Detail'!$A:$A,0))</f>
        <v>LF</v>
      </c>
      <c r="H42" s="40" t="s">
        <v>481</v>
      </c>
      <c r="I42" s="43" t="n">
        <f aca="false">INDEX('Cost Database'!$E:$E,MATCH(H42,'Cost Database'!$A:$A,0))</f>
        <v>0.62</v>
      </c>
      <c r="J42" s="43" t="n">
        <f aca="false">INDEX('Cost Database'!$F:$F,MATCH(H42,'Cost Database'!$A:$A,0))</f>
        <v>0</v>
      </c>
      <c r="K42" s="43" t="n">
        <f aca="false">INDEX('Cost Database'!$G:$G,MATCH(H42,'Cost Database'!$A:$A,0))</f>
        <v>0</v>
      </c>
      <c r="L42" s="18" t="n">
        <f aca="false">F42*I42</f>
        <v>188.99584</v>
      </c>
      <c r="M42" s="18" t="n">
        <f aca="false">F42*J42</f>
        <v>0</v>
      </c>
      <c r="N42" s="18" t="n">
        <f aca="false">F42*K42</f>
        <v>0</v>
      </c>
      <c r="O42" s="18" t="n">
        <f aca="false">L42+M42+N42</f>
        <v>188.99584</v>
      </c>
      <c r="P42" s="42" t="str">
        <f aca="false">INDEX('Takeoff Detail'!$U:$U,MATCH(E42,'Takeoff Detail'!$A:$A,0))</f>
        <v>Calculated</v>
      </c>
      <c r="Q42" s="42" t="str">
        <f aca="false">INDEX('Takeoff Detail'!$V:$V,MATCH(E42,'Takeoff Detail'!$A:$A,0))</f>
        <v>High</v>
      </c>
      <c r="R42" s="19" t="n">
        <f aca="false">O42/Summary!$C$4</f>
        <v>0.139789822485207</v>
      </c>
    </row>
    <row r="43" customFormat="false" ht="15" hidden="false" customHeight="false" outlineLevel="0" collapsed="false">
      <c r="A43" s="40" t="n">
        <v>42</v>
      </c>
      <c r="B43" s="40" t="s">
        <v>66</v>
      </c>
      <c r="C43" s="40" t="s">
        <v>67</v>
      </c>
      <c r="D43" s="38" t="s">
        <v>485</v>
      </c>
      <c r="E43" s="40" t="s">
        <v>484</v>
      </c>
      <c r="F43" s="41" t="n">
        <f aca="false">INDEX('Takeoff Detail'!$R:$R,MATCH(E43,'Takeoff Detail'!$A:$A,0))</f>
        <v>157</v>
      </c>
      <c r="G43" s="42" t="str">
        <f aca="false">INDEX('Takeoff Detail'!$P:$P,MATCH(E43,'Takeoff Detail'!$A:$A,0))</f>
        <v>EA</v>
      </c>
      <c r="H43" s="40" t="s">
        <v>484</v>
      </c>
      <c r="I43" s="43" t="n">
        <f aca="false">INDEX('Cost Database'!$E:$E,MATCH(H43,'Cost Database'!$A:$A,0))</f>
        <v>5.75</v>
      </c>
      <c r="J43" s="43" t="n">
        <f aca="false">INDEX('Cost Database'!$F:$F,MATCH(H43,'Cost Database'!$A:$A,0))</f>
        <v>0</v>
      </c>
      <c r="K43" s="43" t="n">
        <f aca="false">INDEX('Cost Database'!$G:$G,MATCH(H43,'Cost Database'!$A:$A,0))</f>
        <v>0</v>
      </c>
      <c r="L43" s="18" t="n">
        <f aca="false">F43*I43</f>
        <v>902.75</v>
      </c>
      <c r="M43" s="18" t="n">
        <f aca="false">F43*J43</f>
        <v>0</v>
      </c>
      <c r="N43" s="18" t="n">
        <f aca="false">F43*K43</f>
        <v>0</v>
      </c>
      <c r="O43" s="18" t="n">
        <f aca="false">L43+M43+N43</f>
        <v>902.75</v>
      </c>
      <c r="P43" s="42" t="str">
        <f aca="false">INDEX('Takeoff Detail'!$U:$U,MATCH(E43,'Takeoff Detail'!$A:$A,0))</f>
        <v>Calculated</v>
      </c>
      <c r="Q43" s="42" t="str">
        <f aca="false">INDEX('Takeoff Detail'!$V:$V,MATCH(E43,'Takeoff Detail'!$A:$A,0))</f>
        <v>Medium</v>
      </c>
      <c r="R43" s="19" t="n">
        <f aca="false">O43/Summary!$C$4</f>
        <v>0.66771449704142</v>
      </c>
    </row>
    <row r="44" customFormat="false" ht="15" hidden="false" customHeight="false" outlineLevel="0" collapsed="false">
      <c r="A44" s="40" t="n">
        <v>43</v>
      </c>
      <c r="B44" s="40" t="s">
        <v>66</v>
      </c>
      <c r="C44" s="40" t="s">
        <v>67</v>
      </c>
      <c r="D44" s="38" t="s">
        <v>489</v>
      </c>
      <c r="E44" s="40" t="s">
        <v>488</v>
      </c>
      <c r="F44" s="41" t="n">
        <f aca="false">INDEX('Takeoff Detail'!$R:$R,MATCH(E44,'Takeoff Detail'!$A:$A,0))</f>
        <v>60</v>
      </c>
      <c r="G44" s="42" t="str">
        <f aca="false">INDEX('Takeoff Detail'!$P:$P,MATCH(E44,'Takeoff Detail'!$A:$A,0))</f>
        <v>LF</v>
      </c>
      <c r="H44" s="40" t="s">
        <v>488</v>
      </c>
      <c r="I44" s="43" t="n">
        <f aca="false">INDEX('Cost Database'!$E:$E,MATCH(H44,'Cost Database'!$A:$A,0))</f>
        <v>0.95</v>
      </c>
      <c r="J44" s="43" t="n">
        <f aca="false">INDEX('Cost Database'!$F:$F,MATCH(H44,'Cost Database'!$A:$A,0))</f>
        <v>0</v>
      </c>
      <c r="K44" s="43" t="n">
        <f aca="false">INDEX('Cost Database'!$G:$G,MATCH(H44,'Cost Database'!$A:$A,0))</f>
        <v>0</v>
      </c>
      <c r="L44" s="18" t="n">
        <f aca="false">F44*I44</f>
        <v>57</v>
      </c>
      <c r="M44" s="18" t="n">
        <f aca="false">F44*J44</f>
        <v>0</v>
      </c>
      <c r="N44" s="18" t="n">
        <f aca="false">F44*K44</f>
        <v>0</v>
      </c>
      <c r="O44" s="18" t="n">
        <f aca="false">L44+M44+N44</f>
        <v>57</v>
      </c>
      <c r="P44" s="42" t="str">
        <f aca="false">INDEX('Takeoff Detail'!$U:$U,MATCH(E44,'Takeoff Detail'!$A:$A,0))</f>
        <v>Assumed</v>
      </c>
      <c r="Q44" s="42" t="str">
        <f aca="false">INDEX('Takeoff Detail'!$V:$V,MATCH(E44,'Takeoff Detail'!$A:$A,0))</f>
        <v>Medium</v>
      </c>
      <c r="R44" s="19" t="n">
        <f aca="false">O44/Summary!$C$4</f>
        <v>0.0421597633136095</v>
      </c>
    </row>
    <row r="45" customFormat="false" ht="28.35" hidden="false" customHeight="false" outlineLevel="0" collapsed="false">
      <c r="A45" s="40" t="n">
        <v>44</v>
      </c>
      <c r="B45" s="40" t="s">
        <v>66</v>
      </c>
      <c r="C45" s="40" t="s">
        <v>67</v>
      </c>
      <c r="D45" s="38" t="s">
        <v>493</v>
      </c>
      <c r="E45" s="40" t="s">
        <v>492</v>
      </c>
      <c r="F45" s="41" t="n">
        <f aca="false">INDEX('Takeoff Detail'!$R:$R,MATCH(E45,'Takeoff Detail'!$A:$A,0))</f>
        <v>250</v>
      </c>
      <c r="G45" s="42" t="str">
        <f aca="false">INDEX('Takeoff Detail'!$P:$P,MATCH(E45,'Takeoff Detail'!$A:$A,0))</f>
        <v>LF</v>
      </c>
      <c r="H45" s="40" t="s">
        <v>492</v>
      </c>
      <c r="I45" s="43" t="n">
        <f aca="false">INDEX('Cost Database'!$E:$E,MATCH(H45,'Cost Database'!$A:$A,0))</f>
        <v>0.95</v>
      </c>
      <c r="J45" s="43" t="n">
        <f aca="false">INDEX('Cost Database'!$F:$F,MATCH(H45,'Cost Database'!$A:$A,0))</f>
        <v>0</v>
      </c>
      <c r="K45" s="43" t="n">
        <f aca="false">INDEX('Cost Database'!$G:$G,MATCH(H45,'Cost Database'!$A:$A,0))</f>
        <v>0</v>
      </c>
      <c r="L45" s="18" t="n">
        <f aca="false">F45*I45</f>
        <v>237.5</v>
      </c>
      <c r="M45" s="18" t="n">
        <f aca="false">F45*J45</f>
        <v>0</v>
      </c>
      <c r="N45" s="18" t="n">
        <f aca="false">F45*K45</f>
        <v>0</v>
      </c>
      <c r="O45" s="18" t="n">
        <f aca="false">L45+M45+N45</f>
        <v>237.5</v>
      </c>
      <c r="P45" s="42" t="str">
        <f aca="false">INDEX('Takeoff Detail'!$U:$U,MATCH(E45,'Takeoff Detail'!$A:$A,0))</f>
        <v>Allowance</v>
      </c>
      <c r="Q45" s="42" t="str">
        <f aca="false">INDEX('Takeoff Detail'!$V:$V,MATCH(E45,'Takeoff Detail'!$A:$A,0))</f>
        <v>Medium</v>
      </c>
      <c r="R45" s="19" t="n">
        <f aca="false">O45/Summary!$C$4</f>
        <v>0.175665680473373</v>
      </c>
    </row>
    <row r="46" customFormat="false" ht="28.35" hidden="false" customHeight="false" outlineLevel="0" collapsed="false">
      <c r="A46" s="40" t="n">
        <v>45</v>
      </c>
      <c r="B46" s="40" t="s">
        <v>66</v>
      </c>
      <c r="C46" s="40" t="s">
        <v>67</v>
      </c>
      <c r="D46" s="38" t="s">
        <v>496</v>
      </c>
      <c r="E46" s="40" t="s">
        <v>495</v>
      </c>
      <c r="F46" s="41" t="n">
        <f aca="false">INDEX('Takeoff Detail'!$R:$R,MATCH(E46,'Takeoff Detail'!$A:$A,0))</f>
        <v>17</v>
      </c>
      <c r="G46" s="42" t="str">
        <f aca="false">INDEX('Takeoff Detail'!$P:$P,MATCH(E46,'Takeoff Detail'!$A:$A,0))</f>
        <v>EA</v>
      </c>
      <c r="H46" s="40" t="s">
        <v>495</v>
      </c>
      <c r="I46" s="43" t="n">
        <f aca="false">INDEX('Cost Database'!$E:$E,MATCH(H46,'Cost Database'!$A:$A,0))</f>
        <v>205</v>
      </c>
      <c r="J46" s="43" t="n">
        <f aca="false">INDEX('Cost Database'!$F:$F,MATCH(H46,'Cost Database'!$A:$A,0))</f>
        <v>0</v>
      </c>
      <c r="K46" s="43" t="n">
        <f aca="false">INDEX('Cost Database'!$G:$G,MATCH(H46,'Cost Database'!$A:$A,0))</f>
        <v>0</v>
      </c>
      <c r="L46" s="18" t="n">
        <f aca="false">F46*I46</f>
        <v>3485</v>
      </c>
      <c r="M46" s="18" t="n">
        <f aca="false">F46*J46</f>
        <v>0</v>
      </c>
      <c r="N46" s="18" t="n">
        <f aca="false">F46*K46</f>
        <v>0</v>
      </c>
      <c r="O46" s="18" t="n">
        <f aca="false">L46+M46+N46</f>
        <v>3485</v>
      </c>
      <c r="P46" s="42" t="str">
        <f aca="false">INDEX('Takeoff Detail'!$U:$U,MATCH(E46,'Takeoff Detail'!$A:$A,0))</f>
        <v>Calculated</v>
      </c>
      <c r="Q46" s="42" t="str">
        <f aca="false">INDEX('Takeoff Detail'!$V:$V,MATCH(E46,'Takeoff Detail'!$A:$A,0))</f>
        <v>Medium</v>
      </c>
      <c r="R46" s="19" t="n">
        <f aca="false">O46/Summary!$C$4</f>
        <v>2.57766272189349</v>
      </c>
    </row>
    <row r="47" customFormat="false" ht="28.35" hidden="false" customHeight="false" outlineLevel="0" collapsed="false">
      <c r="A47" s="40" t="n">
        <v>46</v>
      </c>
      <c r="B47" s="40" t="s">
        <v>66</v>
      </c>
      <c r="C47" s="40" t="s">
        <v>67</v>
      </c>
      <c r="D47" s="38" t="s">
        <v>503</v>
      </c>
      <c r="E47" s="40" t="s">
        <v>502</v>
      </c>
      <c r="F47" s="41" t="n">
        <f aca="false">INDEX('Takeoff Detail'!$R:$R,MATCH(E47,'Takeoff Detail'!$A:$A,0))</f>
        <v>6</v>
      </c>
      <c r="G47" s="42" t="str">
        <f aca="false">INDEX('Takeoff Detail'!$P:$P,MATCH(E47,'Takeoff Detail'!$A:$A,0))</f>
        <v>EA</v>
      </c>
      <c r="H47" s="40" t="s">
        <v>502</v>
      </c>
      <c r="I47" s="43" t="n">
        <f aca="false">INDEX('Cost Database'!$E:$E,MATCH(H47,'Cost Database'!$A:$A,0))</f>
        <v>275</v>
      </c>
      <c r="J47" s="43" t="n">
        <f aca="false">INDEX('Cost Database'!$F:$F,MATCH(H47,'Cost Database'!$A:$A,0))</f>
        <v>0</v>
      </c>
      <c r="K47" s="43" t="n">
        <f aca="false">INDEX('Cost Database'!$G:$G,MATCH(H47,'Cost Database'!$A:$A,0))</f>
        <v>0</v>
      </c>
      <c r="L47" s="18" t="n">
        <f aca="false">F47*I47</f>
        <v>1650</v>
      </c>
      <c r="M47" s="18" t="n">
        <f aca="false">F47*J47</f>
        <v>0</v>
      </c>
      <c r="N47" s="18" t="n">
        <f aca="false">F47*K47</f>
        <v>0</v>
      </c>
      <c r="O47" s="18" t="n">
        <f aca="false">L47+M47+N47</f>
        <v>1650</v>
      </c>
      <c r="P47" s="42" t="str">
        <f aca="false">INDEX('Takeoff Detail'!$U:$U,MATCH(E47,'Takeoff Detail'!$A:$A,0))</f>
        <v>Calculated</v>
      </c>
      <c r="Q47" s="42" t="str">
        <f aca="false">INDEX('Takeoff Detail'!$V:$V,MATCH(E47,'Takeoff Detail'!$A:$A,0))</f>
        <v>Medium</v>
      </c>
      <c r="R47" s="19" t="n">
        <f aca="false">O47/Summary!$C$4</f>
        <v>1.22041420118343</v>
      </c>
    </row>
    <row r="48" customFormat="false" ht="28.35" hidden="false" customHeight="false" outlineLevel="0" collapsed="false">
      <c r="A48" s="40" t="n">
        <v>47</v>
      </c>
      <c r="B48" s="40" t="s">
        <v>66</v>
      </c>
      <c r="C48" s="40" t="s">
        <v>67</v>
      </c>
      <c r="D48" s="38" t="s">
        <v>509</v>
      </c>
      <c r="E48" s="40" t="s">
        <v>508</v>
      </c>
      <c r="F48" s="41" t="n">
        <f aca="false">INDEX('Takeoff Detail'!$R:$R,MATCH(E48,'Takeoff Detail'!$A:$A,0))</f>
        <v>2</v>
      </c>
      <c r="G48" s="42" t="str">
        <f aca="false">INDEX('Takeoff Detail'!$P:$P,MATCH(E48,'Takeoff Detail'!$A:$A,0))</f>
        <v>EA</v>
      </c>
      <c r="H48" s="40" t="s">
        <v>508</v>
      </c>
      <c r="I48" s="43" t="n">
        <f aca="false">INDEX('Cost Database'!$E:$E,MATCH(H48,'Cost Database'!$A:$A,0))</f>
        <v>300</v>
      </c>
      <c r="J48" s="43" t="n">
        <f aca="false">INDEX('Cost Database'!$F:$F,MATCH(H48,'Cost Database'!$A:$A,0))</f>
        <v>0</v>
      </c>
      <c r="K48" s="43" t="n">
        <f aca="false">INDEX('Cost Database'!$G:$G,MATCH(H48,'Cost Database'!$A:$A,0))</f>
        <v>0</v>
      </c>
      <c r="L48" s="18" t="n">
        <f aca="false">F48*I48</f>
        <v>600</v>
      </c>
      <c r="M48" s="18" t="n">
        <f aca="false">F48*J48</f>
        <v>0</v>
      </c>
      <c r="N48" s="18" t="n">
        <f aca="false">F48*K48</f>
        <v>0</v>
      </c>
      <c r="O48" s="18" t="n">
        <f aca="false">L48+M48+N48</f>
        <v>600</v>
      </c>
      <c r="P48" s="42" t="str">
        <f aca="false">INDEX('Takeoff Detail'!$U:$U,MATCH(E48,'Takeoff Detail'!$A:$A,0))</f>
        <v>Calculated</v>
      </c>
      <c r="Q48" s="42" t="str">
        <f aca="false">INDEX('Takeoff Detail'!$V:$V,MATCH(E48,'Takeoff Detail'!$A:$A,0))</f>
        <v>Medium</v>
      </c>
      <c r="R48" s="19" t="n">
        <f aca="false">O48/Summary!$C$4</f>
        <v>0.443786982248521</v>
      </c>
    </row>
    <row r="49" customFormat="false" ht="15" hidden="false" customHeight="false" outlineLevel="0" collapsed="false">
      <c r="A49" s="40" t="n">
        <v>48</v>
      </c>
      <c r="B49" s="40" t="s">
        <v>66</v>
      </c>
      <c r="C49" s="40" t="s">
        <v>67</v>
      </c>
      <c r="D49" s="38" t="s">
        <v>513</v>
      </c>
      <c r="E49" s="40" t="s">
        <v>512</v>
      </c>
      <c r="F49" s="41" t="n">
        <f aca="false">INDEX('Takeoff Detail'!$R:$R,MATCH(E49,'Takeoff Detail'!$A:$A,0))</f>
        <v>1479.632</v>
      </c>
      <c r="G49" s="42" t="str">
        <f aca="false">INDEX('Takeoff Detail'!$P:$P,MATCH(E49,'Takeoff Detail'!$A:$A,0))</f>
        <v>LF</v>
      </c>
      <c r="H49" s="40" t="s">
        <v>512</v>
      </c>
      <c r="I49" s="43" t="n">
        <f aca="false">INDEX('Cost Database'!$E:$E,MATCH(H49,'Cost Database'!$A:$A,0))</f>
        <v>0.62</v>
      </c>
      <c r="J49" s="43" t="n">
        <f aca="false">INDEX('Cost Database'!$F:$F,MATCH(H49,'Cost Database'!$A:$A,0))</f>
        <v>0</v>
      </c>
      <c r="K49" s="43" t="n">
        <f aca="false">INDEX('Cost Database'!$G:$G,MATCH(H49,'Cost Database'!$A:$A,0))</f>
        <v>0</v>
      </c>
      <c r="L49" s="18" t="n">
        <f aca="false">F49*I49</f>
        <v>917.37184</v>
      </c>
      <c r="M49" s="18" t="n">
        <f aca="false">F49*J49</f>
        <v>0</v>
      </c>
      <c r="N49" s="18" t="n">
        <f aca="false">F49*K49</f>
        <v>0</v>
      </c>
      <c r="O49" s="18" t="n">
        <f aca="false">L49+M49+N49</f>
        <v>917.37184</v>
      </c>
      <c r="P49" s="42" t="str">
        <f aca="false">INDEX('Takeoff Detail'!$U:$U,MATCH(E49,'Takeoff Detail'!$A:$A,0))</f>
        <v>Assumed</v>
      </c>
      <c r="Q49" s="42" t="str">
        <f aca="false">INDEX('Takeoff Detail'!$V:$V,MATCH(E49,'Takeoff Detail'!$A:$A,0))</f>
        <v>Low</v>
      </c>
      <c r="R49" s="19" t="n">
        <f aca="false">O49/Summary!$C$4</f>
        <v>0.678529467455621</v>
      </c>
    </row>
    <row r="50" customFormat="false" ht="28.35" hidden="false" customHeight="false" outlineLevel="0" collapsed="false">
      <c r="A50" s="40" t="n">
        <v>49</v>
      </c>
      <c r="B50" s="40" t="s">
        <v>66</v>
      </c>
      <c r="C50" s="40" t="s">
        <v>67</v>
      </c>
      <c r="D50" s="38" t="s">
        <v>519</v>
      </c>
      <c r="E50" s="40" t="s">
        <v>518</v>
      </c>
      <c r="F50" s="41" t="n">
        <f aca="false">INDEX('Takeoff Detail'!$R:$R,MATCH(E50,'Takeoff Detail'!$A:$A,0))</f>
        <v>693.88</v>
      </c>
      <c r="G50" s="42" t="str">
        <f aca="false">INDEX('Takeoff Detail'!$P:$P,MATCH(E50,'Takeoff Detail'!$A:$A,0))</f>
        <v>LF</v>
      </c>
      <c r="H50" s="40" t="s">
        <v>518</v>
      </c>
      <c r="I50" s="43" t="n">
        <f aca="false">INDEX('Cost Database'!$E:$E,MATCH(H50,'Cost Database'!$A:$A,0))</f>
        <v>0.62</v>
      </c>
      <c r="J50" s="43" t="n">
        <f aca="false">INDEX('Cost Database'!$F:$F,MATCH(H50,'Cost Database'!$A:$A,0))</f>
        <v>0</v>
      </c>
      <c r="K50" s="43" t="n">
        <f aca="false">INDEX('Cost Database'!$G:$G,MATCH(H50,'Cost Database'!$A:$A,0))</f>
        <v>0</v>
      </c>
      <c r="L50" s="18" t="n">
        <f aca="false">F50*I50</f>
        <v>430.2056</v>
      </c>
      <c r="M50" s="18" t="n">
        <f aca="false">F50*J50</f>
        <v>0</v>
      </c>
      <c r="N50" s="18" t="n">
        <f aca="false">F50*K50</f>
        <v>0</v>
      </c>
      <c r="O50" s="18" t="n">
        <f aca="false">L50+M50+N50</f>
        <v>430.2056</v>
      </c>
      <c r="P50" s="42" t="str">
        <f aca="false">INDEX('Takeoff Detail'!$U:$U,MATCH(E50,'Takeoff Detail'!$A:$A,0))</f>
        <v>Assumed</v>
      </c>
      <c r="Q50" s="42" t="str">
        <f aca="false">INDEX('Takeoff Detail'!$V:$V,MATCH(E50,'Takeoff Detail'!$A:$A,0))</f>
        <v>Medium</v>
      </c>
      <c r="R50" s="19" t="n">
        <f aca="false">O50/Summary!$C$4</f>
        <v>0.318199408284024</v>
      </c>
    </row>
    <row r="51" customFormat="false" ht="15" hidden="false" customHeight="false" outlineLevel="0" collapsed="false">
      <c r="A51" s="40" t="n">
        <v>50</v>
      </c>
      <c r="B51" s="40" t="s">
        <v>66</v>
      </c>
      <c r="C51" s="40" t="s">
        <v>67</v>
      </c>
      <c r="D51" s="38" t="s">
        <v>524</v>
      </c>
      <c r="E51" s="40" t="s">
        <v>523</v>
      </c>
      <c r="F51" s="41" t="n">
        <f aca="false">INDEX('Takeoff Detail'!$R:$R,MATCH(E51,'Takeoff Detail'!$A:$A,0))</f>
        <v>169.334</v>
      </c>
      <c r="G51" s="42" t="str">
        <f aca="false">INDEX('Takeoff Detail'!$P:$P,MATCH(E51,'Takeoff Detail'!$A:$A,0))</f>
        <v>LF</v>
      </c>
      <c r="H51" s="40" t="s">
        <v>523</v>
      </c>
      <c r="I51" s="43" t="n">
        <f aca="false">INDEX('Cost Database'!$E:$E,MATCH(H51,'Cost Database'!$A:$A,0))</f>
        <v>0.62</v>
      </c>
      <c r="J51" s="43" t="n">
        <f aca="false">INDEX('Cost Database'!$F:$F,MATCH(H51,'Cost Database'!$A:$A,0))</f>
        <v>0</v>
      </c>
      <c r="K51" s="43" t="n">
        <f aca="false">INDEX('Cost Database'!$G:$G,MATCH(H51,'Cost Database'!$A:$A,0))</f>
        <v>0</v>
      </c>
      <c r="L51" s="18" t="n">
        <f aca="false">F51*I51</f>
        <v>104.98708</v>
      </c>
      <c r="M51" s="18" t="n">
        <f aca="false">F51*J51</f>
        <v>0</v>
      </c>
      <c r="N51" s="18" t="n">
        <f aca="false">F51*K51</f>
        <v>0</v>
      </c>
      <c r="O51" s="18" t="n">
        <f aca="false">L51+M51+N51</f>
        <v>104.98708</v>
      </c>
      <c r="P51" s="42" t="str">
        <f aca="false">INDEX('Takeoff Detail'!$U:$U,MATCH(E51,'Takeoff Detail'!$A:$A,0))</f>
        <v>Calculated</v>
      </c>
      <c r="Q51" s="42" t="str">
        <f aca="false">INDEX('Takeoff Detail'!$V:$V,MATCH(E51,'Takeoff Detail'!$A:$A,0))</f>
        <v>Medium</v>
      </c>
      <c r="R51" s="19" t="n">
        <f aca="false">O51/Summary!$C$4</f>
        <v>0.0776531656804734</v>
      </c>
    </row>
    <row r="52" customFormat="false" ht="15" hidden="false" customHeight="false" outlineLevel="0" collapsed="false">
      <c r="A52" s="40" t="n">
        <v>51</v>
      </c>
      <c r="B52" s="40" t="s">
        <v>66</v>
      </c>
      <c r="C52" s="40" t="s">
        <v>67</v>
      </c>
      <c r="D52" s="38" t="s">
        <v>529</v>
      </c>
      <c r="E52" s="40" t="s">
        <v>528</v>
      </c>
      <c r="F52" s="41" t="n">
        <f aca="false">INDEX('Takeoff Detail'!$R:$R,MATCH(E52,'Takeoff Detail'!$A:$A,0))</f>
        <v>427.856</v>
      </c>
      <c r="G52" s="42" t="str">
        <f aca="false">INDEX('Takeoff Detail'!$P:$P,MATCH(E52,'Takeoff Detail'!$A:$A,0))</f>
        <v>LF</v>
      </c>
      <c r="H52" s="40" t="s">
        <v>528</v>
      </c>
      <c r="I52" s="43" t="n">
        <f aca="false">INDEX('Cost Database'!$E:$E,MATCH(H52,'Cost Database'!$A:$A,0))</f>
        <v>0.62</v>
      </c>
      <c r="J52" s="43" t="n">
        <f aca="false">INDEX('Cost Database'!$F:$F,MATCH(H52,'Cost Database'!$A:$A,0))</f>
        <v>0</v>
      </c>
      <c r="K52" s="43" t="n">
        <f aca="false">INDEX('Cost Database'!$G:$G,MATCH(H52,'Cost Database'!$A:$A,0))</f>
        <v>0</v>
      </c>
      <c r="L52" s="18" t="n">
        <f aca="false">F52*I52</f>
        <v>265.27072</v>
      </c>
      <c r="M52" s="18" t="n">
        <f aca="false">F52*J52</f>
        <v>0</v>
      </c>
      <c r="N52" s="18" t="n">
        <f aca="false">F52*K52</f>
        <v>0</v>
      </c>
      <c r="O52" s="18" t="n">
        <f aca="false">L52+M52+N52</f>
        <v>265.27072</v>
      </c>
      <c r="P52" s="42" t="str">
        <f aca="false">INDEX('Takeoff Detail'!$U:$U,MATCH(E52,'Takeoff Detail'!$A:$A,0))</f>
        <v>Assumed</v>
      </c>
      <c r="Q52" s="42" t="str">
        <f aca="false">INDEX('Takeoff Detail'!$V:$V,MATCH(E52,'Takeoff Detail'!$A:$A,0))</f>
        <v>Medium</v>
      </c>
      <c r="R52" s="19" t="n">
        <f aca="false">O52/Summary!$C$4</f>
        <v>0.196206153846154</v>
      </c>
    </row>
    <row r="53" customFormat="false" ht="15" hidden="false" customHeight="false" outlineLevel="0" collapsed="false">
      <c r="A53" s="40" t="n">
        <v>52</v>
      </c>
      <c r="B53" s="40" t="s">
        <v>66</v>
      </c>
      <c r="C53" s="40" t="s">
        <v>67</v>
      </c>
      <c r="D53" s="38" t="s">
        <v>532</v>
      </c>
      <c r="E53" s="40" t="s">
        <v>531</v>
      </c>
      <c r="F53" s="41" t="n">
        <f aca="false">INDEX('Takeoff Detail'!$R:$R,MATCH(E53,'Takeoff Detail'!$A:$A,0))</f>
        <v>400</v>
      </c>
      <c r="G53" s="42" t="str">
        <f aca="false">INDEX('Takeoff Detail'!$P:$P,MATCH(E53,'Takeoff Detail'!$A:$A,0))</f>
        <v>LF</v>
      </c>
      <c r="H53" s="40" t="s">
        <v>531</v>
      </c>
      <c r="I53" s="43" t="n">
        <f aca="false">INDEX('Cost Database'!$E:$E,MATCH(H53,'Cost Database'!$A:$A,0))</f>
        <v>0.62</v>
      </c>
      <c r="J53" s="43" t="n">
        <f aca="false">INDEX('Cost Database'!$F:$F,MATCH(H53,'Cost Database'!$A:$A,0))</f>
        <v>0</v>
      </c>
      <c r="K53" s="43" t="n">
        <f aca="false">INDEX('Cost Database'!$G:$G,MATCH(H53,'Cost Database'!$A:$A,0))</f>
        <v>0</v>
      </c>
      <c r="L53" s="18" t="n">
        <f aca="false">F53*I53</f>
        <v>248</v>
      </c>
      <c r="M53" s="18" t="n">
        <f aca="false">F53*J53</f>
        <v>0</v>
      </c>
      <c r="N53" s="18" t="n">
        <f aca="false">F53*K53</f>
        <v>0</v>
      </c>
      <c r="O53" s="18" t="n">
        <f aca="false">L53+M53+N53</f>
        <v>248</v>
      </c>
      <c r="P53" s="42" t="str">
        <f aca="false">INDEX('Takeoff Detail'!$U:$U,MATCH(E53,'Takeoff Detail'!$A:$A,0))</f>
        <v>Allowance</v>
      </c>
      <c r="Q53" s="42" t="str">
        <f aca="false">INDEX('Takeoff Detail'!$V:$V,MATCH(E53,'Takeoff Detail'!$A:$A,0))</f>
        <v>Medium</v>
      </c>
      <c r="R53" s="19" t="n">
        <f aca="false">O53/Summary!$C$4</f>
        <v>0.183431952662722</v>
      </c>
    </row>
    <row r="54" customFormat="false" ht="15" hidden="false" customHeight="false" outlineLevel="0" collapsed="false">
      <c r="A54" s="40" t="n">
        <v>53</v>
      </c>
      <c r="B54" s="40" t="s">
        <v>66</v>
      </c>
      <c r="C54" s="40" t="s">
        <v>67</v>
      </c>
      <c r="D54" s="38" t="s">
        <v>534</v>
      </c>
      <c r="E54" s="40" t="s">
        <v>533</v>
      </c>
      <c r="F54" s="41" t="n">
        <f aca="false">INDEX('Takeoff Detail'!$R:$R,MATCH(E54,'Takeoff Detail'!$A:$A,0))</f>
        <v>267.96</v>
      </c>
      <c r="G54" s="42" t="str">
        <f aca="false">INDEX('Takeoff Detail'!$P:$P,MATCH(E54,'Takeoff Detail'!$A:$A,0))</f>
        <v>LF</v>
      </c>
      <c r="H54" s="40" t="s">
        <v>533</v>
      </c>
      <c r="I54" s="43" t="n">
        <f aca="false">INDEX('Cost Database'!$E:$E,MATCH(H54,'Cost Database'!$A:$A,0))</f>
        <v>0.95</v>
      </c>
      <c r="J54" s="43" t="n">
        <f aca="false">INDEX('Cost Database'!$F:$F,MATCH(H54,'Cost Database'!$A:$A,0))</f>
        <v>0</v>
      </c>
      <c r="K54" s="43" t="n">
        <f aca="false">INDEX('Cost Database'!$G:$G,MATCH(H54,'Cost Database'!$A:$A,0))</f>
        <v>0</v>
      </c>
      <c r="L54" s="18" t="n">
        <f aca="false">F54*I54</f>
        <v>254.562</v>
      </c>
      <c r="M54" s="18" t="n">
        <f aca="false">F54*J54</f>
        <v>0</v>
      </c>
      <c r="N54" s="18" t="n">
        <f aca="false">F54*K54</f>
        <v>0</v>
      </c>
      <c r="O54" s="18" t="n">
        <f aca="false">L54+M54+N54</f>
        <v>254.562</v>
      </c>
      <c r="P54" s="42" t="str">
        <f aca="false">INDEX('Takeoff Detail'!$U:$U,MATCH(E54,'Takeoff Detail'!$A:$A,0))</f>
        <v>Calculated</v>
      </c>
      <c r="Q54" s="42" t="str">
        <f aca="false">INDEX('Takeoff Detail'!$V:$V,MATCH(E54,'Takeoff Detail'!$A:$A,0))</f>
        <v>High</v>
      </c>
      <c r="R54" s="19" t="n">
        <f aca="false">O54/Summary!$C$4</f>
        <v>0.18828550295858</v>
      </c>
    </row>
    <row r="55" customFormat="false" ht="15" hidden="false" customHeight="false" outlineLevel="0" collapsed="false">
      <c r="A55" s="40" t="n">
        <v>54</v>
      </c>
      <c r="B55" s="40" t="s">
        <v>66</v>
      </c>
      <c r="C55" s="40" t="s">
        <v>67</v>
      </c>
      <c r="D55" s="38" t="s">
        <v>538</v>
      </c>
      <c r="E55" s="40" t="s">
        <v>537</v>
      </c>
      <c r="F55" s="41" t="n">
        <f aca="false">INDEX('Takeoff Detail'!$R:$R,MATCH(E55,'Takeoff Detail'!$A:$A,0))</f>
        <v>200</v>
      </c>
      <c r="G55" s="42" t="str">
        <f aca="false">INDEX('Takeoff Detail'!$P:$P,MATCH(E55,'Takeoff Detail'!$A:$A,0))</f>
        <v>LF</v>
      </c>
      <c r="H55" s="40" t="s">
        <v>537</v>
      </c>
      <c r="I55" s="43" t="n">
        <f aca="false">INDEX('Cost Database'!$E:$E,MATCH(H55,'Cost Database'!$A:$A,0))</f>
        <v>0.62</v>
      </c>
      <c r="J55" s="43" t="n">
        <f aca="false">INDEX('Cost Database'!$F:$F,MATCH(H55,'Cost Database'!$A:$A,0))</f>
        <v>0</v>
      </c>
      <c r="K55" s="43" t="n">
        <f aca="false">INDEX('Cost Database'!$G:$G,MATCH(H55,'Cost Database'!$A:$A,0))</f>
        <v>0</v>
      </c>
      <c r="L55" s="18" t="n">
        <f aca="false">F55*I55</f>
        <v>124</v>
      </c>
      <c r="M55" s="18" t="n">
        <f aca="false">F55*J55</f>
        <v>0</v>
      </c>
      <c r="N55" s="18" t="n">
        <f aca="false">F55*K55</f>
        <v>0</v>
      </c>
      <c r="O55" s="18" t="n">
        <f aca="false">L55+M55+N55</f>
        <v>124</v>
      </c>
      <c r="P55" s="42" t="str">
        <f aca="false">INDEX('Takeoff Detail'!$U:$U,MATCH(E55,'Takeoff Detail'!$A:$A,0))</f>
        <v>Allowance</v>
      </c>
      <c r="Q55" s="42" t="str">
        <f aca="false">INDEX('Takeoff Detail'!$V:$V,MATCH(E55,'Takeoff Detail'!$A:$A,0))</f>
        <v>Medium</v>
      </c>
      <c r="R55" s="19" t="n">
        <f aca="false">O55/Summary!$C$4</f>
        <v>0.0917159763313609</v>
      </c>
    </row>
    <row r="56" customFormat="false" ht="28.35" hidden="false" customHeight="false" outlineLevel="0" collapsed="false">
      <c r="A56" s="40" t="n">
        <v>55</v>
      </c>
      <c r="B56" s="40" t="s">
        <v>66</v>
      </c>
      <c r="C56" s="40" t="s">
        <v>67</v>
      </c>
      <c r="D56" s="38" t="s">
        <v>540</v>
      </c>
      <c r="E56" s="40" t="s">
        <v>539</v>
      </c>
      <c r="F56" s="41" t="n">
        <f aca="false">INDEX('Takeoff Detail'!$R:$R,MATCH(E56,'Takeoff Detail'!$A:$A,0))</f>
        <v>72</v>
      </c>
      <c r="G56" s="42" t="str">
        <f aca="false">INDEX('Takeoff Detail'!$P:$P,MATCH(E56,'Takeoff Detail'!$A:$A,0))</f>
        <v>LF</v>
      </c>
      <c r="H56" s="40" t="s">
        <v>539</v>
      </c>
      <c r="I56" s="43" t="n">
        <f aca="false">INDEX('Cost Database'!$E:$E,MATCH(H56,'Cost Database'!$A:$A,0))</f>
        <v>34</v>
      </c>
      <c r="J56" s="43" t="n">
        <f aca="false">INDEX('Cost Database'!$F:$F,MATCH(H56,'Cost Database'!$A:$A,0))</f>
        <v>0</v>
      </c>
      <c r="K56" s="43" t="n">
        <f aca="false">INDEX('Cost Database'!$G:$G,MATCH(H56,'Cost Database'!$A:$A,0))</f>
        <v>0</v>
      </c>
      <c r="L56" s="18" t="n">
        <f aca="false">F56*I56</f>
        <v>2448</v>
      </c>
      <c r="M56" s="18" t="n">
        <f aca="false">F56*J56</f>
        <v>0</v>
      </c>
      <c r="N56" s="18" t="n">
        <f aca="false">F56*K56</f>
        <v>0</v>
      </c>
      <c r="O56" s="18" t="n">
        <f aca="false">L56+M56+N56</f>
        <v>2448</v>
      </c>
      <c r="P56" s="42" t="str">
        <f aca="false">INDEX('Takeoff Detail'!$U:$U,MATCH(E56,'Takeoff Detail'!$A:$A,0))</f>
        <v>Assumed</v>
      </c>
      <c r="Q56" s="42" t="str">
        <f aca="false">INDEX('Takeoff Detail'!$V:$V,MATCH(E56,'Takeoff Detail'!$A:$A,0))</f>
        <v>Low</v>
      </c>
      <c r="R56" s="19" t="n">
        <f aca="false">O56/Summary!$C$4</f>
        <v>1.81065088757396</v>
      </c>
    </row>
    <row r="57" customFormat="false" ht="15" hidden="false" customHeight="false" outlineLevel="0" collapsed="false">
      <c r="A57" s="40" t="n">
        <v>56</v>
      </c>
      <c r="B57" s="40" t="s">
        <v>66</v>
      </c>
      <c r="C57" s="40" t="s">
        <v>67</v>
      </c>
      <c r="D57" s="38" t="s">
        <v>546</v>
      </c>
      <c r="E57" s="40" t="s">
        <v>545</v>
      </c>
      <c r="F57" s="41" t="n">
        <f aca="false">INDEX('Takeoff Detail'!$R:$R,MATCH(E57,'Takeoff Detail'!$A:$A,0))</f>
        <v>2</v>
      </c>
      <c r="G57" s="42" t="str">
        <f aca="false">INDEX('Takeoff Detail'!$P:$P,MATCH(E57,'Takeoff Detail'!$A:$A,0))</f>
        <v>EA</v>
      </c>
      <c r="H57" s="40" t="s">
        <v>545</v>
      </c>
      <c r="I57" s="43" t="n">
        <f aca="false">INDEX('Cost Database'!$E:$E,MATCH(H57,'Cost Database'!$A:$A,0))</f>
        <v>150</v>
      </c>
      <c r="J57" s="43" t="n">
        <f aca="false">INDEX('Cost Database'!$F:$F,MATCH(H57,'Cost Database'!$A:$A,0))</f>
        <v>0</v>
      </c>
      <c r="K57" s="43" t="n">
        <f aca="false">INDEX('Cost Database'!$G:$G,MATCH(H57,'Cost Database'!$A:$A,0))</f>
        <v>0</v>
      </c>
      <c r="L57" s="18" t="n">
        <f aca="false">F57*I57</f>
        <v>300</v>
      </c>
      <c r="M57" s="18" t="n">
        <f aca="false">F57*J57</f>
        <v>0</v>
      </c>
      <c r="N57" s="18" t="n">
        <f aca="false">F57*K57</f>
        <v>0</v>
      </c>
      <c r="O57" s="18" t="n">
        <f aca="false">L57+M57+N57</f>
        <v>300</v>
      </c>
      <c r="P57" s="42" t="str">
        <f aca="false">INDEX('Takeoff Detail'!$U:$U,MATCH(E57,'Takeoff Detail'!$A:$A,0))</f>
        <v>Measured</v>
      </c>
      <c r="Q57" s="42" t="str">
        <f aca="false">INDEX('Takeoff Detail'!$V:$V,MATCH(E57,'Takeoff Detail'!$A:$A,0))</f>
        <v>Medium</v>
      </c>
      <c r="R57" s="19" t="n">
        <f aca="false">O57/Summary!$C$4</f>
        <v>0.22189349112426</v>
      </c>
    </row>
    <row r="58" customFormat="false" ht="15" hidden="false" customHeight="false" outlineLevel="0" collapsed="false">
      <c r="A58" s="40" t="n">
        <v>57</v>
      </c>
      <c r="B58" s="40" t="s">
        <v>66</v>
      </c>
      <c r="C58" s="40" t="s">
        <v>67</v>
      </c>
      <c r="D58" s="38" t="s">
        <v>549</v>
      </c>
      <c r="E58" s="40" t="s">
        <v>548</v>
      </c>
      <c r="F58" s="41" t="n">
        <f aca="false">INDEX('Takeoff Detail'!$R:$R,MATCH(E58,'Takeoff Detail'!$A:$A,0))</f>
        <v>54</v>
      </c>
      <c r="G58" s="42" t="str">
        <f aca="false">INDEX('Takeoff Detail'!$P:$P,MATCH(E58,'Takeoff Detail'!$A:$A,0))</f>
        <v>SHT</v>
      </c>
      <c r="H58" s="40" t="s">
        <v>548</v>
      </c>
      <c r="I58" s="43" t="n">
        <f aca="false">INDEX('Cost Database'!$E:$E,MATCH(H58,'Cost Database'!$A:$A,0))</f>
        <v>45</v>
      </c>
      <c r="J58" s="43" t="n">
        <f aca="false">INDEX('Cost Database'!$F:$F,MATCH(H58,'Cost Database'!$A:$A,0))</f>
        <v>0</v>
      </c>
      <c r="K58" s="43" t="n">
        <f aca="false">INDEX('Cost Database'!$G:$G,MATCH(H58,'Cost Database'!$A:$A,0))</f>
        <v>0</v>
      </c>
      <c r="L58" s="18" t="n">
        <f aca="false">F58*I58</f>
        <v>2430</v>
      </c>
      <c r="M58" s="18" t="n">
        <f aca="false">F58*J58</f>
        <v>0</v>
      </c>
      <c r="N58" s="18" t="n">
        <f aca="false">F58*K58</f>
        <v>0</v>
      </c>
      <c r="O58" s="18" t="n">
        <f aca="false">L58+M58+N58</f>
        <v>2430</v>
      </c>
      <c r="P58" s="42" t="str">
        <f aca="false">INDEX('Takeoff Detail'!$U:$U,MATCH(E58,'Takeoff Detail'!$A:$A,0))</f>
        <v>Calculated</v>
      </c>
      <c r="Q58" s="42" t="str">
        <f aca="false">INDEX('Takeoff Detail'!$V:$V,MATCH(E58,'Takeoff Detail'!$A:$A,0))</f>
        <v>High</v>
      </c>
      <c r="R58" s="19" t="n">
        <f aca="false">O58/Summary!$C$4</f>
        <v>1.79733727810651</v>
      </c>
    </row>
    <row r="59" customFormat="false" ht="15" hidden="false" customHeight="false" outlineLevel="0" collapsed="false">
      <c r="A59" s="40" t="n">
        <v>58</v>
      </c>
      <c r="B59" s="40" t="s">
        <v>66</v>
      </c>
      <c r="C59" s="40" t="s">
        <v>67</v>
      </c>
      <c r="D59" s="38" t="s">
        <v>555</v>
      </c>
      <c r="E59" s="40" t="s">
        <v>554</v>
      </c>
      <c r="F59" s="41" t="n">
        <f aca="false">INDEX('Takeoff Detail'!$R:$R,MATCH(E59,'Takeoff Detail'!$A:$A,0))</f>
        <v>85</v>
      </c>
      <c r="G59" s="42" t="str">
        <f aca="false">INDEX('Takeoff Detail'!$P:$P,MATCH(E59,'Takeoff Detail'!$A:$A,0))</f>
        <v>SHT</v>
      </c>
      <c r="H59" s="40" t="s">
        <v>554</v>
      </c>
      <c r="I59" s="43" t="n">
        <f aca="false">INDEX('Cost Database'!$E:$E,MATCH(H59,'Cost Database'!$A:$A,0))</f>
        <v>52</v>
      </c>
      <c r="J59" s="43" t="n">
        <f aca="false">INDEX('Cost Database'!$F:$F,MATCH(H59,'Cost Database'!$A:$A,0))</f>
        <v>0</v>
      </c>
      <c r="K59" s="43" t="n">
        <f aca="false">INDEX('Cost Database'!$G:$G,MATCH(H59,'Cost Database'!$A:$A,0))</f>
        <v>0</v>
      </c>
      <c r="L59" s="18" t="n">
        <f aca="false">F59*I59</f>
        <v>4420</v>
      </c>
      <c r="M59" s="18" t="n">
        <f aca="false">F59*J59</f>
        <v>0</v>
      </c>
      <c r="N59" s="18" t="n">
        <f aca="false">F59*K59</f>
        <v>0</v>
      </c>
      <c r="O59" s="18" t="n">
        <f aca="false">L59+M59+N59</f>
        <v>4420</v>
      </c>
      <c r="P59" s="42" t="str">
        <f aca="false">INDEX('Takeoff Detail'!$U:$U,MATCH(E59,'Takeoff Detail'!$A:$A,0))</f>
        <v>Calculated</v>
      </c>
      <c r="Q59" s="42" t="str">
        <f aca="false">INDEX('Takeoff Detail'!$V:$V,MATCH(E59,'Takeoff Detail'!$A:$A,0))</f>
        <v>High</v>
      </c>
      <c r="R59" s="19" t="n">
        <f aca="false">O59/Summary!$C$4</f>
        <v>3.26923076923077</v>
      </c>
    </row>
    <row r="60" customFormat="false" ht="15" hidden="false" customHeight="false" outlineLevel="0" collapsed="false">
      <c r="A60" s="40" t="n">
        <v>59</v>
      </c>
      <c r="B60" s="40" t="s">
        <v>66</v>
      </c>
      <c r="C60" s="40" t="s">
        <v>67</v>
      </c>
      <c r="D60" s="38" t="s">
        <v>559</v>
      </c>
      <c r="E60" s="40" t="s">
        <v>558</v>
      </c>
      <c r="F60" s="41" t="n">
        <f aca="false">INDEX('Takeoff Detail'!$R:$R,MATCH(E60,'Takeoff Detail'!$A:$A,0))</f>
        <v>20</v>
      </c>
      <c r="G60" s="42" t="str">
        <f aca="false">INDEX('Takeoff Detail'!$P:$P,MATCH(E60,'Takeoff Detail'!$A:$A,0))</f>
        <v>RL</v>
      </c>
      <c r="H60" s="40" t="s">
        <v>558</v>
      </c>
      <c r="I60" s="43" t="n">
        <f aca="false">INDEX('Cost Database'!$E:$E,MATCH(H60,'Cost Database'!$A:$A,0))</f>
        <v>36</v>
      </c>
      <c r="J60" s="43" t="n">
        <f aca="false">INDEX('Cost Database'!$F:$F,MATCH(H60,'Cost Database'!$A:$A,0))</f>
        <v>0</v>
      </c>
      <c r="K60" s="43" t="n">
        <f aca="false">INDEX('Cost Database'!$G:$G,MATCH(H60,'Cost Database'!$A:$A,0))</f>
        <v>0</v>
      </c>
      <c r="L60" s="18" t="n">
        <f aca="false">F60*I60</f>
        <v>720</v>
      </c>
      <c r="M60" s="18" t="n">
        <f aca="false">F60*J60</f>
        <v>0</v>
      </c>
      <c r="N60" s="18" t="n">
        <f aca="false">F60*K60</f>
        <v>0</v>
      </c>
      <c r="O60" s="18" t="n">
        <f aca="false">L60+M60+N60</f>
        <v>720</v>
      </c>
      <c r="P60" s="42" t="str">
        <f aca="false">INDEX('Takeoff Detail'!$U:$U,MATCH(E60,'Takeoff Detail'!$A:$A,0))</f>
        <v>Calculated</v>
      </c>
      <c r="Q60" s="42" t="str">
        <f aca="false">INDEX('Takeoff Detail'!$V:$V,MATCH(E60,'Takeoff Detail'!$A:$A,0))</f>
        <v>High</v>
      </c>
      <c r="R60" s="19" t="n">
        <f aca="false">O60/Summary!$C$4</f>
        <v>0.532544378698225</v>
      </c>
    </row>
    <row r="61" customFormat="false" ht="28.35" hidden="false" customHeight="false" outlineLevel="0" collapsed="false">
      <c r="A61" s="40" t="n">
        <v>60</v>
      </c>
      <c r="B61" s="40" t="s">
        <v>66</v>
      </c>
      <c r="C61" s="40" t="s">
        <v>67</v>
      </c>
      <c r="D61" s="38" t="s">
        <v>565</v>
      </c>
      <c r="E61" s="40" t="s">
        <v>564</v>
      </c>
      <c r="F61" s="41" t="n">
        <f aca="false">INDEX('Takeoff Detail'!$R:$R,MATCH(E61,'Takeoff Detail'!$A:$A,0))</f>
        <v>1</v>
      </c>
      <c r="G61" s="42" t="str">
        <f aca="false">INDEX('Takeoff Detail'!$P:$P,MATCH(E61,'Takeoff Detail'!$A:$A,0))</f>
        <v>LS</v>
      </c>
      <c r="H61" s="40" t="s">
        <v>564</v>
      </c>
      <c r="I61" s="43" t="n">
        <f aca="false">INDEX('Cost Database'!$E:$E,MATCH(H61,'Cost Database'!$A:$A,0))</f>
        <v>350</v>
      </c>
      <c r="J61" s="43" t="n">
        <f aca="false">INDEX('Cost Database'!$F:$F,MATCH(H61,'Cost Database'!$A:$A,0))</f>
        <v>0</v>
      </c>
      <c r="K61" s="43" t="n">
        <f aca="false">INDEX('Cost Database'!$G:$G,MATCH(H61,'Cost Database'!$A:$A,0))</f>
        <v>0</v>
      </c>
      <c r="L61" s="18" t="n">
        <f aca="false">F61*I61</f>
        <v>350</v>
      </c>
      <c r="M61" s="18" t="n">
        <f aca="false">F61*J61</f>
        <v>0</v>
      </c>
      <c r="N61" s="18" t="n">
        <f aca="false">F61*K61</f>
        <v>0</v>
      </c>
      <c r="O61" s="18" t="n">
        <f aca="false">L61+M61+N61</f>
        <v>350</v>
      </c>
      <c r="P61" s="42" t="str">
        <f aca="false">INDEX('Takeoff Detail'!$U:$U,MATCH(E61,'Takeoff Detail'!$A:$A,0))</f>
        <v>Allowance</v>
      </c>
      <c r="Q61" s="42" t="str">
        <f aca="false">INDEX('Takeoff Detail'!$V:$V,MATCH(E61,'Takeoff Detail'!$A:$A,0))</f>
        <v>Medium</v>
      </c>
      <c r="R61" s="19" t="n">
        <f aca="false">O61/Summary!$C$4</f>
        <v>0.25887573964497</v>
      </c>
    </row>
    <row r="62" customFormat="false" ht="28.35" hidden="false" customHeight="false" outlineLevel="0" collapsed="false">
      <c r="A62" s="40" t="n">
        <v>61</v>
      </c>
      <c r="B62" s="40" t="s">
        <v>66</v>
      </c>
      <c r="C62" s="40" t="s">
        <v>67</v>
      </c>
      <c r="D62" s="38" t="s">
        <v>567</v>
      </c>
      <c r="E62" s="40" t="s">
        <v>566</v>
      </c>
      <c r="F62" s="41" t="n">
        <f aca="false">INDEX('Takeoff Detail'!$R:$R,MATCH(E62,'Takeoff Detail'!$A:$A,0))</f>
        <v>1</v>
      </c>
      <c r="G62" s="42" t="str">
        <f aca="false">INDEX('Takeoff Detail'!$P:$P,MATCH(E62,'Takeoff Detail'!$A:$A,0))</f>
        <v>LS</v>
      </c>
      <c r="H62" s="40" t="s">
        <v>566</v>
      </c>
      <c r="I62" s="43" t="n">
        <f aca="false">INDEX('Cost Database'!$E:$E,MATCH(H62,'Cost Database'!$A:$A,0))</f>
        <v>1150</v>
      </c>
      <c r="J62" s="43" t="n">
        <f aca="false">INDEX('Cost Database'!$F:$F,MATCH(H62,'Cost Database'!$A:$A,0))</f>
        <v>0</v>
      </c>
      <c r="K62" s="43" t="n">
        <f aca="false">INDEX('Cost Database'!$G:$G,MATCH(H62,'Cost Database'!$A:$A,0))</f>
        <v>0</v>
      </c>
      <c r="L62" s="18" t="n">
        <f aca="false">F62*I62</f>
        <v>1150</v>
      </c>
      <c r="M62" s="18" t="n">
        <f aca="false">F62*J62</f>
        <v>0</v>
      </c>
      <c r="N62" s="18" t="n">
        <f aca="false">F62*K62</f>
        <v>0</v>
      </c>
      <c r="O62" s="18" t="n">
        <f aca="false">L62+M62+N62</f>
        <v>1150</v>
      </c>
      <c r="P62" s="42" t="str">
        <f aca="false">INDEX('Takeoff Detail'!$U:$U,MATCH(E62,'Takeoff Detail'!$A:$A,0))</f>
        <v>Allowance</v>
      </c>
      <c r="Q62" s="42" t="str">
        <f aca="false">INDEX('Takeoff Detail'!$V:$V,MATCH(E62,'Takeoff Detail'!$A:$A,0))</f>
        <v>Medium</v>
      </c>
      <c r="R62" s="19" t="n">
        <f aca="false">O62/Summary!$C$4</f>
        <v>0.850591715976331</v>
      </c>
    </row>
    <row r="63" customFormat="false" ht="15" hidden="false" customHeight="false" outlineLevel="0" collapsed="false">
      <c r="A63" s="40" t="n">
        <v>62</v>
      </c>
      <c r="B63" s="40" t="s">
        <v>66</v>
      </c>
      <c r="C63" s="40" t="s">
        <v>67</v>
      </c>
      <c r="D63" s="38" t="s">
        <v>570</v>
      </c>
      <c r="E63" s="40" t="s">
        <v>569</v>
      </c>
      <c r="F63" s="41" t="n">
        <f aca="false">INDEX('Takeoff Detail'!$R:$R,MATCH(E63,'Takeoff Detail'!$A:$A,0))</f>
        <v>1975.75</v>
      </c>
      <c r="G63" s="42" t="str">
        <f aca="false">INDEX('Takeoff Detail'!$P:$P,MATCH(E63,'Takeoff Detail'!$A:$A,0))</f>
        <v>SF</v>
      </c>
      <c r="H63" s="40" t="s">
        <v>569</v>
      </c>
      <c r="I63" s="43" t="n">
        <f aca="false">INDEX('Cost Database'!$E:$E,MATCH(H63,'Cost Database'!$A:$A,0))</f>
        <v>0.45</v>
      </c>
      <c r="J63" s="43" t="n">
        <f aca="false">INDEX('Cost Database'!$F:$F,MATCH(H63,'Cost Database'!$A:$A,0))</f>
        <v>0</v>
      </c>
      <c r="K63" s="43" t="n">
        <f aca="false">INDEX('Cost Database'!$G:$G,MATCH(H63,'Cost Database'!$A:$A,0))</f>
        <v>0</v>
      </c>
      <c r="L63" s="18" t="n">
        <f aca="false">F63*I63</f>
        <v>889.0875</v>
      </c>
      <c r="M63" s="18" t="n">
        <f aca="false">F63*J63</f>
        <v>0</v>
      </c>
      <c r="N63" s="18" t="n">
        <f aca="false">F63*K63</f>
        <v>0</v>
      </c>
      <c r="O63" s="18" t="n">
        <f aca="false">L63+M63+N63</f>
        <v>889.0875</v>
      </c>
      <c r="P63" s="42" t="str">
        <f aca="false">INDEX('Takeoff Detail'!$U:$U,MATCH(E63,'Takeoff Detail'!$A:$A,0))</f>
        <v>Calculated</v>
      </c>
      <c r="Q63" s="42" t="str">
        <f aca="false">INDEX('Takeoff Detail'!$V:$V,MATCH(E63,'Takeoff Detail'!$A:$A,0))</f>
        <v>High</v>
      </c>
      <c r="R63" s="19" t="n">
        <f aca="false">O63/Summary!$C$4</f>
        <v>0.657609097633136</v>
      </c>
    </row>
    <row r="64" customFormat="false" ht="28.35" hidden="false" customHeight="false" outlineLevel="0" collapsed="false">
      <c r="A64" s="40" t="n">
        <v>63</v>
      </c>
      <c r="B64" s="40" t="s">
        <v>66</v>
      </c>
      <c r="C64" s="40" t="s">
        <v>67</v>
      </c>
      <c r="D64" s="38" t="s">
        <v>573</v>
      </c>
      <c r="E64" s="40" t="s">
        <v>572</v>
      </c>
      <c r="F64" s="41" t="n">
        <f aca="false">INDEX('Takeoff Detail'!$R:$R,MATCH(E64,'Takeoff Detail'!$A:$A,0))</f>
        <v>1347.5</v>
      </c>
      <c r="G64" s="42" t="str">
        <f aca="false">INDEX('Takeoff Detail'!$P:$P,MATCH(E64,'Takeoff Detail'!$A:$A,0))</f>
        <v>SF</v>
      </c>
      <c r="H64" s="40" t="s">
        <v>572</v>
      </c>
      <c r="I64" s="43" t="n">
        <f aca="false">INDEX('Cost Database'!$E:$E,MATCH(H64,'Cost Database'!$A:$A,0))</f>
        <v>0</v>
      </c>
      <c r="J64" s="43" t="n">
        <f aca="false">INDEX('Cost Database'!$F:$F,MATCH(H64,'Cost Database'!$A:$A,0))</f>
        <v>7.25</v>
      </c>
      <c r="K64" s="43" t="n">
        <f aca="false">INDEX('Cost Database'!$G:$G,MATCH(H64,'Cost Database'!$A:$A,0))</f>
        <v>0</v>
      </c>
      <c r="L64" s="18" t="n">
        <f aca="false">F64*I64</f>
        <v>0</v>
      </c>
      <c r="M64" s="18" t="n">
        <f aca="false">F64*J64</f>
        <v>9769.375</v>
      </c>
      <c r="N64" s="18" t="n">
        <f aca="false">F64*K64</f>
        <v>0</v>
      </c>
      <c r="O64" s="18" t="n">
        <f aca="false">L64+M64+N64</f>
        <v>9769.375</v>
      </c>
      <c r="P64" s="42" t="str">
        <f aca="false">INDEX('Takeoff Detail'!$U:$U,MATCH(E64,'Takeoff Detail'!$A:$A,0))</f>
        <v>Calculated</v>
      </c>
      <c r="Q64" s="42" t="str">
        <f aca="false">INDEX('Takeoff Detail'!$V:$V,MATCH(E64,'Takeoff Detail'!$A:$A,0))</f>
        <v>High</v>
      </c>
      <c r="R64" s="19" t="n">
        <f aca="false">O64/Summary!$C$4</f>
        <v>7.22586908284024</v>
      </c>
    </row>
    <row r="65" customFormat="false" ht="28.35" hidden="false" customHeight="false" outlineLevel="0" collapsed="false">
      <c r="A65" s="40" t="n">
        <v>64</v>
      </c>
      <c r="B65" s="40" t="s">
        <v>66</v>
      </c>
      <c r="C65" s="40" t="s">
        <v>67</v>
      </c>
      <c r="D65" s="38" t="s">
        <v>575</v>
      </c>
      <c r="E65" s="40" t="s">
        <v>574</v>
      </c>
      <c r="F65" s="41" t="n">
        <f aca="false">INDEX('Takeoff Detail'!$R:$R,MATCH(E65,'Takeoff Detail'!$A:$A,0))</f>
        <v>628.25</v>
      </c>
      <c r="G65" s="42" t="str">
        <f aca="false">INDEX('Takeoff Detail'!$P:$P,MATCH(E65,'Takeoff Detail'!$A:$A,0))</f>
        <v>SF</v>
      </c>
      <c r="H65" s="40" t="s">
        <v>574</v>
      </c>
      <c r="I65" s="43" t="n">
        <f aca="false">INDEX('Cost Database'!$E:$E,MATCH(H65,'Cost Database'!$A:$A,0))</f>
        <v>0</v>
      </c>
      <c r="J65" s="43" t="n">
        <f aca="false">INDEX('Cost Database'!$F:$F,MATCH(H65,'Cost Database'!$A:$A,0))</f>
        <v>3.75</v>
      </c>
      <c r="K65" s="43" t="n">
        <f aca="false">INDEX('Cost Database'!$G:$G,MATCH(H65,'Cost Database'!$A:$A,0))</f>
        <v>0</v>
      </c>
      <c r="L65" s="18" t="n">
        <f aca="false">F65*I65</f>
        <v>0</v>
      </c>
      <c r="M65" s="18" t="n">
        <f aca="false">F65*J65</f>
        <v>2355.9375</v>
      </c>
      <c r="N65" s="18" t="n">
        <f aca="false">F65*K65</f>
        <v>0</v>
      </c>
      <c r="O65" s="18" t="n">
        <f aca="false">L65+M65+N65</f>
        <v>2355.9375</v>
      </c>
      <c r="P65" s="42" t="str">
        <f aca="false">INDEX('Takeoff Detail'!$U:$U,MATCH(E65,'Takeoff Detail'!$A:$A,0))</f>
        <v>Calculated</v>
      </c>
      <c r="Q65" s="42" t="str">
        <f aca="false">INDEX('Takeoff Detail'!$V:$V,MATCH(E65,'Takeoff Detail'!$A:$A,0))</f>
        <v>High</v>
      </c>
      <c r="R65" s="19" t="n">
        <f aca="false">O65/Summary!$C$4</f>
        <v>1.74255732248521</v>
      </c>
    </row>
    <row r="66" customFormat="false" ht="15" hidden="false" customHeight="false" outlineLevel="0" collapsed="false">
      <c r="A66" s="40" t="n">
        <v>65</v>
      </c>
      <c r="B66" s="40" t="s">
        <v>66</v>
      </c>
      <c r="C66" s="40" t="s">
        <v>67</v>
      </c>
      <c r="D66" s="38" t="s">
        <v>579</v>
      </c>
      <c r="E66" s="40" t="s">
        <v>578</v>
      </c>
      <c r="F66" s="41" t="n">
        <f aca="false">INDEX('Takeoff Detail'!$R:$R,MATCH(E66,'Takeoff Detail'!$A:$A,0))</f>
        <v>1</v>
      </c>
      <c r="G66" s="42" t="str">
        <f aca="false">INDEX('Takeoff Detail'!$P:$P,MATCH(E66,'Takeoff Detail'!$A:$A,0))</f>
        <v>LS</v>
      </c>
      <c r="H66" s="40" t="s">
        <v>578</v>
      </c>
      <c r="I66" s="43" t="n">
        <f aca="false">INDEX('Cost Database'!$E:$E,MATCH(H66,'Cost Database'!$A:$A,0))</f>
        <v>0</v>
      </c>
      <c r="J66" s="43" t="n">
        <f aca="false">INDEX('Cost Database'!$F:$F,MATCH(H66,'Cost Database'!$A:$A,0))</f>
        <v>0</v>
      </c>
      <c r="K66" s="43" t="n">
        <f aca="false">INDEX('Cost Database'!$G:$G,MATCH(H66,'Cost Database'!$A:$A,0))</f>
        <v>1150</v>
      </c>
      <c r="L66" s="18" t="n">
        <f aca="false">F66*I66</f>
        <v>0</v>
      </c>
      <c r="M66" s="18" t="n">
        <f aca="false">F66*J66</f>
        <v>0</v>
      </c>
      <c r="N66" s="18" t="n">
        <f aca="false">F66*K66</f>
        <v>1150</v>
      </c>
      <c r="O66" s="18" t="n">
        <f aca="false">L66+M66+N66</f>
        <v>1150</v>
      </c>
      <c r="P66" s="42" t="str">
        <f aca="false">INDEX('Takeoff Detail'!$U:$U,MATCH(E66,'Takeoff Detail'!$A:$A,0))</f>
        <v>Allowance</v>
      </c>
      <c r="Q66" s="42" t="str">
        <f aca="false">INDEX('Takeoff Detail'!$V:$V,MATCH(E66,'Takeoff Detail'!$A:$A,0))</f>
        <v>Medium</v>
      </c>
      <c r="R66" s="19" t="n">
        <f aca="false">O66/Summary!$C$4</f>
        <v>0.850591715976331</v>
      </c>
    </row>
    <row r="67" customFormat="false" ht="15" hidden="false" customHeight="false" outlineLevel="0" collapsed="false">
      <c r="A67" s="40" t="n">
        <v>66</v>
      </c>
      <c r="B67" s="40" t="s">
        <v>68</v>
      </c>
      <c r="C67" s="40" t="s">
        <v>69</v>
      </c>
      <c r="D67" s="38" t="s">
        <v>581</v>
      </c>
      <c r="E67" s="40" t="s">
        <v>580</v>
      </c>
      <c r="F67" s="41" t="n">
        <f aca="false">INDEX('Takeoff Detail'!$R:$R,MATCH(E67,'Takeoff Detail'!$A:$A,0))</f>
        <v>1261.05</v>
      </c>
      <c r="G67" s="42" t="str">
        <f aca="false">INDEX('Takeoff Detail'!$P:$P,MATCH(E67,'Takeoff Detail'!$A:$A,0))</f>
        <v>SF</v>
      </c>
      <c r="H67" s="40" t="s">
        <v>580</v>
      </c>
      <c r="I67" s="43" t="n">
        <f aca="false">INDEX('Cost Database'!$E:$E,MATCH(H67,'Cost Database'!$A:$A,0))</f>
        <v>0</v>
      </c>
      <c r="J67" s="43" t="n">
        <f aca="false">INDEX('Cost Database'!$F:$F,MATCH(H67,'Cost Database'!$A:$A,0))</f>
        <v>0</v>
      </c>
      <c r="K67" s="43" t="n">
        <f aca="false">INDEX('Cost Database'!$G:$G,MATCH(H67,'Cost Database'!$A:$A,0))</f>
        <v>1.15</v>
      </c>
      <c r="L67" s="18" t="n">
        <f aca="false">F67*I67</f>
        <v>0</v>
      </c>
      <c r="M67" s="18" t="n">
        <f aca="false">F67*J67</f>
        <v>0</v>
      </c>
      <c r="N67" s="18" t="n">
        <f aca="false">F67*K67</f>
        <v>1450.2075</v>
      </c>
      <c r="O67" s="18" t="n">
        <f aca="false">L67+M67+N67</f>
        <v>1450.2075</v>
      </c>
      <c r="P67" s="42" t="str">
        <f aca="false">INDEX('Takeoff Detail'!$U:$U,MATCH(E67,'Takeoff Detail'!$A:$A,0))</f>
        <v>Calculated</v>
      </c>
      <c r="Q67" s="42" t="str">
        <f aca="false">INDEX('Takeoff Detail'!$V:$V,MATCH(E67,'Takeoff Detail'!$A:$A,0))</f>
        <v>High</v>
      </c>
      <c r="R67" s="19" t="n">
        <f aca="false">O67/Summary!$C$4</f>
        <v>1.07263868343195</v>
      </c>
    </row>
    <row r="68" customFormat="false" ht="15" hidden="false" customHeight="false" outlineLevel="0" collapsed="false">
      <c r="A68" s="40" t="n">
        <v>67</v>
      </c>
      <c r="B68" s="40" t="s">
        <v>68</v>
      </c>
      <c r="C68" s="40" t="s">
        <v>69</v>
      </c>
      <c r="D68" s="38" t="s">
        <v>587</v>
      </c>
      <c r="E68" s="40" t="s">
        <v>586</v>
      </c>
      <c r="F68" s="41" t="n">
        <f aca="false">INDEX('Takeoff Detail'!$R:$R,MATCH(E68,'Takeoff Detail'!$A:$A,0))</f>
        <v>1246.34</v>
      </c>
      <c r="G68" s="42" t="str">
        <f aca="false">INDEX('Takeoff Detail'!$P:$P,MATCH(E68,'Takeoff Detail'!$A:$A,0))</f>
        <v>SF</v>
      </c>
      <c r="H68" s="40" t="s">
        <v>586</v>
      </c>
      <c r="I68" s="43" t="n">
        <f aca="false">INDEX('Cost Database'!$E:$E,MATCH(H68,'Cost Database'!$A:$A,0))</f>
        <v>0</v>
      </c>
      <c r="J68" s="43" t="n">
        <f aca="false">INDEX('Cost Database'!$F:$F,MATCH(H68,'Cost Database'!$A:$A,0))</f>
        <v>0</v>
      </c>
      <c r="K68" s="43" t="n">
        <f aca="false">INDEX('Cost Database'!$G:$G,MATCH(H68,'Cost Database'!$A:$A,0))</f>
        <v>1.45</v>
      </c>
      <c r="L68" s="18" t="n">
        <f aca="false">F68*I68</f>
        <v>0</v>
      </c>
      <c r="M68" s="18" t="n">
        <f aca="false">F68*J68</f>
        <v>0</v>
      </c>
      <c r="N68" s="18" t="n">
        <f aca="false">F68*K68</f>
        <v>1807.193</v>
      </c>
      <c r="O68" s="18" t="n">
        <f aca="false">L68+M68+N68</f>
        <v>1807.193</v>
      </c>
      <c r="P68" s="42" t="str">
        <f aca="false">INDEX('Takeoff Detail'!$U:$U,MATCH(E68,'Takeoff Detail'!$A:$A,0))</f>
        <v>Calculated</v>
      </c>
      <c r="Q68" s="42" t="str">
        <f aca="false">INDEX('Takeoff Detail'!$V:$V,MATCH(E68,'Takeoff Detail'!$A:$A,0))</f>
        <v>High</v>
      </c>
      <c r="R68" s="19" t="n">
        <f aca="false">O68/Summary!$C$4</f>
        <v>1.33668121301775</v>
      </c>
    </row>
    <row r="69" customFormat="false" ht="15" hidden="false" customHeight="false" outlineLevel="0" collapsed="false">
      <c r="A69" s="40" t="n">
        <v>68</v>
      </c>
      <c r="B69" s="40" t="s">
        <v>68</v>
      </c>
      <c r="C69" s="40" t="s">
        <v>69</v>
      </c>
      <c r="D69" s="38" t="s">
        <v>590</v>
      </c>
      <c r="E69" s="40" t="s">
        <v>589</v>
      </c>
      <c r="F69" s="41" t="n">
        <f aca="false">INDEX('Takeoff Detail'!$R:$R,MATCH(E69,'Takeoff Detail'!$A:$A,0))</f>
        <v>1</v>
      </c>
      <c r="G69" s="42" t="str">
        <f aca="false">INDEX('Takeoff Detail'!$P:$P,MATCH(E69,'Takeoff Detail'!$A:$A,0))</f>
        <v>LS</v>
      </c>
      <c r="H69" s="40" t="s">
        <v>589</v>
      </c>
      <c r="I69" s="43" t="n">
        <f aca="false">INDEX('Cost Database'!$E:$E,MATCH(H69,'Cost Database'!$A:$A,0))</f>
        <v>0</v>
      </c>
      <c r="J69" s="43" t="n">
        <f aca="false">INDEX('Cost Database'!$F:$F,MATCH(H69,'Cost Database'!$A:$A,0))</f>
        <v>0</v>
      </c>
      <c r="K69" s="43" t="n">
        <f aca="false">INDEX('Cost Database'!$G:$G,MATCH(H69,'Cost Database'!$A:$A,0))</f>
        <v>650</v>
      </c>
      <c r="L69" s="18" t="n">
        <f aca="false">F69*I69</f>
        <v>0</v>
      </c>
      <c r="M69" s="18" t="n">
        <f aca="false">F69*J69</f>
        <v>0</v>
      </c>
      <c r="N69" s="18" t="n">
        <f aca="false">F69*K69</f>
        <v>650</v>
      </c>
      <c r="O69" s="18" t="n">
        <f aca="false">L69+M69+N69</f>
        <v>650</v>
      </c>
      <c r="P69" s="42" t="str">
        <f aca="false">INDEX('Takeoff Detail'!$U:$U,MATCH(E69,'Takeoff Detail'!$A:$A,0))</f>
        <v>Allowance</v>
      </c>
      <c r="Q69" s="42" t="str">
        <f aca="false">INDEX('Takeoff Detail'!$V:$V,MATCH(E69,'Takeoff Detail'!$A:$A,0))</f>
        <v>Medium</v>
      </c>
      <c r="R69" s="19" t="n">
        <f aca="false">O69/Summary!$C$4</f>
        <v>0.480769230769231</v>
      </c>
    </row>
    <row r="70" customFormat="false" ht="15" hidden="false" customHeight="false" outlineLevel="0" collapsed="false">
      <c r="A70" s="40" t="n">
        <v>69</v>
      </c>
      <c r="B70" s="40" t="s">
        <v>68</v>
      </c>
      <c r="C70" s="40" t="s">
        <v>69</v>
      </c>
      <c r="D70" s="38" t="s">
        <v>593</v>
      </c>
      <c r="E70" s="40" t="s">
        <v>592</v>
      </c>
      <c r="F70" s="41" t="n">
        <f aca="false">INDEX('Takeoff Detail'!$R:$R,MATCH(E70,'Takeoff Detail'!$A:$A,0))</f>
        <v>27.177460882</v>
      </c>
      <c r="G70" s="42" t="str">
        <f aca="false">INDEX('Takeoff Detail'!$P:$P,MATCH(E70,'Takeoff Detail'!$A:$A,0))</f>
        <v>SQ</v>
      </c>
      <c r="H70" s="40" t="s">
        <v>592</v>
      </c>
      <c r="I70" s="43" t="n">
        <f aca="false">INDEX('Cost Database'!$E:$E,MATCH(H70,'Cost Database'!$A:$A,0))</f>
        <v>118</v>
      </c>
      <c r="J70" s="43" t="n">
        <f aca="false">INDEX('Cost Database'!$F:$F,MATCH(H70,'Cost Database'!$A:$A,0))</f>
        <v>92</v>
      </c>
      <c r="K70" s="43" t="n">
        <f aca="false">INDEX('Cost Database'!$G:$G,MATCH(H70,'Cost Database'!$A:$A,0))</f>
        <v>0</v>
      </c>
      <c r="L70" s="18" t="n">
        <f aca="false">F70*I70</f>
        <v>3206.940384076</v>
      </c>
      <c r="M70" s="18" t="n">
        <f aca="false">F70*J70</f>
        <v>2500.326401144</v>
      </c>
      <c r="N70" s="18" t="n">
        <f aca="false">F70*K70</f>
        <v>0</v>
      </c>
      <c r="O70" s="18" t="n">
        <f aca="false">L70+M70+N70</f>
        <v>5707.26678522</v>
      </c>
      <c r="P70" s="42" t="str">
        <f aca="false">INDEX('Takeoff Detail'!$U:$U,MATCH(E70,'Takeoff Detail'!$A:$A,0))</f>
        <v>Calculated</v>
      </c>
      <c r="Q70" s="42" t="str">
        <f aca="false">INDEX('Takeoff Detail'!$V:$V,MATCH(E70,'Takeoff Detail'!$A:$A,0))</f>
        <v>High</v>
      </c>
      <c r="R70" s="19" t="n">
        <f aca="false">O70/Summary!$C$4</f>
        <v>4.2213511725</v>
      </c>
    </row>
    <row r="71" customFormat="false" ht="15" hidden="false" customHeight="false" outlineLevel="0" collapsed="false">
      <c r="A71" s="40" t="n">
        <v>70</v>
      </c>
      <c r="B71" s="40" t="s">
        <v>68</v>
      </c>
      <c r="C71" s="40" t="s">
        <v>69</v>
      </c>
      <c r="D71" s="38" t="s">
        <v>599</v>
      </c>
      <c r="E71" s="40" t="s">
        <v>598</v>
      </c>
      <c r="F71" s="41" t="n">
        <f aca="false">INDEX('Takeoff Detail'!$R:$R,MATCH(E71,'Takeoff Detail'!$A:$A,0))</f>
        <v>100.884</v>
      </c>
      <c r="G71" s="42" t="str">
        <f aca="false">INDEX('Takeoff Detail'!$P:$P,MATCH(E71,'Takeoff Detail'!$A:$A,0))</f>
        <v>LF</v>
      </c>
      <c r="H71" s="40" t="s">
        <v>598</v>
      </c>
      <c r="I71" s="43" t="n">
        <f aca="false">INDEX('Cost Database'!$E:$E,MATCH(H71,'Cost Database'!$A:$A,0))</f>
        <v>3.25</v>
      </c>
      <c r="J71" s="43" t="n">
        <f aca="false">INDEX('Cost Database'!$F:$F,MATCH(H71,'Cost Database'!$A:$A,0))</f>
        <v>1.25</v>
      </c>
      <c r="K71" s="43" t="n">
        <f aca="false">INDEX('Cost Database'!$G:$G,MATCH(H71,'Cost Database'!$A:$A,0))</f>
        <v>0</v>
      </c>
      <c r="L71" s="18" t="n">
        <f aca="false">F71*I71</f>
        <v>327.873</v>
      </c>
      <c r="M71" s="18" t="n">
        <f aca="false">F71*J71</f>
        <v>126.105</v>
      </c>
      <c r="N71" s="18" t="n">
        <f aca="false">F71*K71</f>
        <v>0</v>
      </c>
      <c r="O71" s="18" t="n">
        <f aca="false">L71+M71+N71</f>
        <v>453.978</v>
      </c>
      <c r="P71" s="42" t="str">
        <f aca="false">INDEX('Takeoff Detail'!$U:$U,MATCH(E71,'Takeoff Detail'!$A:$A,0))</f>
        <v>Calculated</v>
      </c>
      <c r="Q71" s="42" t="str">
        <f aca="false">INDEX('Takeoff Detail'!$V:$V,MATCH(E71,'Takeoff Detail'!$A:$A,0))</f>
        <v>High</v>
      </c>
      <c r="R71" s="19" t="n">
        <f aca="false">O71/Summary!$C$4</f>
        <v>0.335782544378698</v>
      </c>
    </row>
    <row r="72" customFormat="false" ht="15" hidden="false" customHeight="false" outlineLevel="0" collapsed="false">
      <c r="A72" s="40" t="n">
        <v>71</v>
      </c>
      <c r="B72" s="40" t="s">
        <v>68</v>
      </c>
      <c r="C72" s="40" t="s">
        <v>69</v>
      </c>
      <c r="D72" s="38" t="s">
        <v>603</v>
      </c>
      <c r="E72" s="40" t="s">
        <v>602</v>
      </c>
      <c r="F72" s="41" t="n">
        <f aca="false">INDEX('Takeoff Detail'!$R:$R,MATCH(E72,'Takeoff Detail'!$A:$A,0))</f>
        <v>64.17</v>
      </c>
      <c r="G72" s="42" t="str">
        <f aca="false">INDEX('Takeoff Detail'!$P:$P,MATCH(E72,'Takeoff Detail'!$A:$A,0))</f>
        <v>LF</v>
      </c>
      <c r="H72" s="40" t="s">
        <v>602</v>
      </c>
      <c r="I72" s="43" t="n">
        <f aca="false">INDEX('Cost Database'!$E:$E,MATCH(H72,'Cost Database'!$A:$A,0))</f>
        <v>3.75</v>
      </c>
      <c r="J72" s="43" t="n">
        <f aca="false">INDEX('Cost Database'!$F:$F,MATCH(H72,'Cost Database'!$A:$A,0))</f>
        <v>1.5</v>
      </c>
      <c r="K72" s="43" t="n">
        <f aca="false">INDEX('Cost Database'!$G:$G,MATCH(H72,'Cost Database'!$A:$A,0))</f>
        <v>0</v>
      </c>
      <c r="L72" s="18" t="n">
        <f aca="false">F72*I72</f>
        <v>240.6375</v>
      </c>
      <c r="M72" s="18" t="n">
        <f aca="false">F72*J72</f>
        <v>96.255</v>
      </c>
      <c r="N72" s="18" t="n">
        <f aca="false">F72*K72</f>
        <v>0</v>
      </c>
      <c r="O72" s="18" t="n">
        <f aca="false">L72+M72+N72</f>
        <v>336.8925</v>
      </c>
      <c r="P72" s="42" t="str">
        <f aca="false">INDEX('Takeoff Detail'!$U:$U,MATCH(E72,'Takeoff Detail'!$A:$A,0))</f>
        <v>Assumed</v>
      </c>
      <c r="Q72" s="42" t="str">
        <f aca="false">INDEX('Takeoff Detail'!$V:$V,MATCH(E72,'Takeoff Detail'!$A:$A,0))</f>
        <v>Medium</v>
      </c>
      <c r="R72" s="19" t="n">
        <f aca="false">O72/Summary!$C$4</f>
        <v>0.249180843195266</v>
      </c>
    </row>
    <row r="73" customFormat="false" ht="15" hidden="false" customHeight="false" outlineLevel="0" collapsed="false">
      <c r="A73" s="40" t="n">
        <v>72</v>
      </c>
      <c r="B73" s="40" t="s">
        <v>68</v>
      </c>
      <c r="C73" s="40" t="s">
        <v>69</v>
      </c>
      <c r="D73" s="38" t="s">
        <v>606</v>
      </c>
      <c r="E73" s="40" t="s">
        <v>605</v>
      </c>
      <c r="F73" s="41" t="n">
        <f aca="false">INDEX('Takeoff Detail'!$R:$R,MATCH(E73,'Takeoff Detail'!$A:$A,0))</f>
        <v>1444.36544</v>
      </c>
      <c r="G73" s="42" t="str">
        <f aca="false">INDEX('Takeoff Detail'!$P:$P,MATCH(E73,'Takeoff Detail'!$A:$A,0))</f>
        <v>SF</v>
      </c>
      <c r="H73" s="40" t="s">
        <v>605</v>
      </c>
      <c r="I73" s="43" t="n">
        <f aca="false">INDEX('Cost Database'!$E:$E,MATCH(H73,'Cost Database'!$A:$A,0))</f>
        <v>2.15</v>
      </c>
      <c r="J73" s="43" t="n">
        <f aca="false">INDEX('Cost Database'!$F:$F,MATCH(H73,'Cost Database'!$A:$A,0))</f>
        <v>2.35</v>
      </c>
      <c r="K73" s="43" t="n">
        <f aca="false">INDEX('Cost Database'!$G:$G,MATCH(H73,'Cost Database'!$A:$A,0))</f>
        <v>0</v>
      </c>
      <c r="L73" s="18" t="n">
        <f aca="false">F73*I73</f>
        <v>3105.385696</v>
      </c>
      <c r="M73" s="18" t="n">
        <f aca="false">F73*J73</f>
        <v>3394.258784</v>
      </c>
      <c r="N73" s="18" t="n">
        <f aca="false">F73*K73</f>
        <v>0</v>
      </c>
      <c r="O73" s="18" t="n">
        <f aca="false">L73+M73+N73</f>
        <v>6499.64448</v>
      </c>
      <c r="P73" s="42" t="str">
        <f aca="false">INDEX('Takeoff Detail'!$U:$U,MATCH(E73,'Takeoff Detail'!$A:$A,0))</f>
        <v>Calculated</v>
      </c>
      <c r="Q73" s="42" t="str">
        <f aca="false">INDEX('Takeoff Detail'!$V:$V,MATCH(E73,'Takeoff Detail'!$A:$A,0))</f>
        <v>High</v>
      </c>
      <c r="R73" s="19" t="n">
        <f aca="false">O73/Summary!$C$4</f>
        <v>4.80742934911243</v>
      </c>
    </row>
    <row r="74" customFormat="false" ht="15" hidden="false" customHeight="false" outlineLevel="0" collapsed="false">
      <c r="A74" s="40" t="n">
        <v>73</v>
      </c>
      <c r="B74" s="40" t="s">
        <v>68</v>
      </c>
      <c r="C74" s="40" t="s">
        <v>69</v>
      </c>
      <c r="D74" s="38" t="s">
        <v>611</v>
      </c>
      <c r="E74" s="40" t="s">
        <v>610</v>
      </c>
      <c r="F74" s="41" t="n">
        <f aca="false">INDEX('Takeoff Detail'!$R:$R,MATCH(E74,'Takeoff Detail'!$A:$A,0))</f>
        <v>200</v>
      </c>
      <c r="G74" s="42" t="str">
        <f aca="false">INDEX('Takeoff Detail'!$P:$P,MATCH(E74,'Takeoff Detail'!$A:$A,0))</f>
        <v>LF</v>
      </c>
      <c r="H74" s="40" t="s">
        <v>610</v>
      </c>
      <c r="I74" s="43" t="n">
        <f aca="false">INDEX('Cost Database'!$E:$E,MATCH(H74,'Cost Database'!$A:$A,0))</f>
        <v>1.1</v>
      </c>
      <c r="J74" s="43" t="n">
        <f aca="false">INDEX('Cost Database'!$F:$F,MATCH(H74,'Cost Database'!$A:$A,0))</f>
        <v>1.25</v>
      </c>
      <c r="K74" s="43" t="n">
        <f aca="false">INDEX('Cost Database'!$G:$G,MATCH(H74,'Cost Database'!$A:$A,0))</f>
        <v>0</v>
      </c>
      <c r="L74" s="18" t="n">
        <f aca="false">F74*I74</f>
        <v>220</v>
      </c>
      <c r="M74" s="18" t="n">
        <f aca="false">F74*J74</f>
        <v>250</v>
      </c>
      <c r="N74" s="18" t="n">
        <f aca="false">F74*K74</f>
        <v>0</v>
      </c>
      <c r="O74" s="18" t="n">
        <f aca="false">L74+M74+N74</f>
        <v>470</v>
      </c>
      <c r="P74" s="42" t="str">
        <f aca="false">INDEX('Takeoff Detail'!$U:$U,MATCH(E74,'Takeoff Detail'!$A:$A,0))</f>
        <v>Assumed</v>
      </c>
      <c r="Q74" s="42" t="str">
        <f aca="false">INDEX('Takeoff Detail'!$V:$V,MATCH(E74,'Takeoff Detail'!$A:$A,0))</f>
        <v>Medium</v>
      </c>
      <c r="R74" s="19" t="n">
        <f aca="false">O74/Summary!$C$4</f>
        <v>0.347633136094675</v>
      </c>
    </row>
    <row r="75" customFormat="false" ht="15" hidden="false" customHeight="false" outlineLevel="0" collapsed="false">
      <c r="A75" s="40" t="n">
        <v>74</v>
      </c>
      <c r="B75" s="40" t="s">
        <v>68</v>
      </c>
      <c r="C75" s="40" t="s">
        <v>69</v>
      </c>
      <c r="D75" s="38" t="s">
        <v>616</v>
      </c>
      <c r="E75" s="40" t="s">
        <v>615</v>
      </c>
      <c r="F75" s="41" t="n">
        <f aca="false">INDEX('Takeoff Detail'!$R:$R,MATCH(E75,'Takeoff Detail'!$A:$A,0))</f>
        <v>314.6699</v>
      </c>
      <c r="G75" s="42" t="str">
        <f aca="false">INDEX('Takeoff Detail'!$P:$P,MATCH(E75,'Takeoff Detail'!$A:$A,0))</f>
        <v>SF</v>
      </c>
      <c r="H75" s="40" t="s">
        <v>615</v>
      </c>
      <c r="I75" s="43" t="n">
        <f aca="false">INDEX('Cost Database'!$E:$E,MATCH(H75,'Cost Database'!$A:$A,0))</f>
        <v>2.85</v>
      </c>
      <c r="J75" s="43" t="n">
        <f aca="false">INDEX('Cost Database'!$F:$F,MATCH(H75,'Cost Database'!$A:$A,0))</f>
        <v>2.75</v>
      </c>
      <c r="K75" s="43" t="n">
        <f aca="false">INDEX('Cost Database'!$G:$G,MATCH(H75,'Cost Database'!$A:$A,0))</f>
        <v>0</v>
      </c>
      <c r="L75" s="18" t="n">
        <f aca="false">F75*I75</f>
        <v>896.809215</v>
      </c>
      <c r="M75" s="18" t="n">
        <f aca="false">F75*J75</f>
        <v>865.342225</v>
      </c>
      <c r="N75" s="18" t="n">
        <f aca="false">F75*K75</f>
        <v>0</v>
      </c>
      <c r="O75" s="18" t="n">
        <f aca="false">L75+M75+N75</f>
        <v>1762.15144</v>
      </c>
      <c r="P75" s="42" t="str">
        <f aca="false">INDEX('Takeoff Detail'!$U:$U,MATCH(E75,'Takeoff Detail'!$A:$A,0))</f>
        <v>Calculated</v>
      </c>
      <c r="Q75" s="42" t="str">
        <f aca="false">INDEX('Takeoff Detail'!$V:$V,MATCH(E75,'Takeoff Detail'!$A:$A,0))</f>
        <v>Medium</v>
      </c>
      <c r="R75" s="19" t="n">
        <f aca="false">O75/Summary!$C$4</f>
        <v>1.30336644970414</v>
      </c>
    </row>
    <row r="76" customFormat="false" ht="15" hidden="false" customHeight="false" outlineLevel="0" collapsed="false">
      <c r="A76" s="40" t="n">
        <v>75</v>
      </c>
      <c r="B76" s="40" t="s">
        <v>68</v>
      </c>
      <c r="C76" s="40" t="s">
        <v>69</v>
      </c>
      <c r="D76" s="38" t="s">
        <v>622</v>
      </c>
      <c r="E76" s="40" t="s">
        <v>621</v>
      </c>
      <c r="F76" s="41" t="n">
        <f aca="false">INDEX('Takeoff Detail'!$R:$R,MATCH(E76,'Takeoff Detail'!$A:$A,0))</f>
        <v>159.753081567501</v>
      </c>
      <c r="G76" s="42" t="str">
        <f aca="false">INDEX('Takeoff Detail'!$P:$P,MATCH(E76,'Takeoff Detail'!$A:$A,0))</f>
        <v>SF</v>
      </c>
      <c r="H76" s="40" t="s">
        <v>621</v>
      </c>
      <c r="I76" s="43" t="n">
        <f aca="false">INDEX('Cost Database'!$E:$E,MATCH(H76,'Cost Database'!$A:$A,0))</f>
        <v>3.1</v>
      </c>
      <c r="J76" s="43" t="n">
        <f aca="false">INDEX('Cost Database'!$F:$F,MATCH(H76,'Cost Database'!$A:$A,0))</f>
        <v>3.25</v>
      </c>
      <c r="K76" s="43" t="n">
        <f aca="false">INDEX('Cost Database'!$G:$G,MATCH(H76,'Cost Database'!$A:$A,0))</f>
        <v>0</v>
      </c>
      <c r="L76" s="18" t="n">
        <f aca="false">F76*I76</f>
        <v>495.234552859252</v>
      </c>
      <c r="M76" s="18" t="n">
        <f aca="false">F76*J76</f>
        <v>519.197515094377</v>
      </c>
      <c r="N76" s="18" t="n">
        <f aca="false">F76*K76</f>
        <v>0</v>
      </c>
      <c r="O76" s="18" t="n">
        <f aca="false">L76+M76+N76</f>
        <v>1014.43206795363</v>
      </c>
      <c r="P76" s="42" t="str">
        <f aca="false">INDEX('Takeoff Detail'!$U:$U,MATCH(E76,'Takeoff Detail'!$A:$A,0))</f>
        <v>Calculated</v>
      </c>
      <c r="Q76" s="42" t="str">
        <f aca="false">INDEX('Takeoff Detail'!$V:$V,MATCH(E76,'Takeoff Detail'!$A:$A,0))</f>
        <v>High</v>
      </c>
      <c r="R76" s="19" t="n">
        <f aca="false">O76/Summary!$C$4</f>
        <v>0.750319576888779</v>
      </c>
    </row>
    <row r="77" customFormat="false" ht="15" hidden="false" customHeight="false" outlineLevel="0" collapsed="false">
      <c r="A77" s="40" t="n">
        <v>76</v>
      </c>
      <c r="B77" s="40" t="s">
        <v>68</v>
      </c>
      <c r="C77" s="40" t="s">
        <v>69</v>
      </c>
      <c r="D77" s="38" t="s">
        <v>626</v>
      </c>
      <c r="E77" s="40" t="s">
        <v>625</v>
      </c>
      <c r="F77" s="41" t="n">
        <f aca="false">INDEX('Takeoff Detail'!$R:$R,MATCH(E77,'Takeoff Detail'!$A:$A,0))</f>
        <v>631.107825969541</v>
      </c>
      <c r="G77" s="42" t="str">
        <f aca="false">INDEX('Takeoff Detail'!$P:$P,MATCH(E77,'Takeoff Detail'!$A:$A,0))</f>
        <v>SF</v>
      </c>
      <c r="H77" s="40" t="s">
        <v>625</v>
      </c>
      <c r="I77" s="43" t="n">
        <f aca="false">INDEX('Cost Database'!$E:$E,MATCH(H77,'Cost Database'!$A:$A,0))</f>
        <v>2.15</v>
      </c>
      <c r="J77" s="43" t="n">
        <f aca="false">INDEX('Cost Database'!$F:$F,MATCH(H77,'Cost Database'!$A:$A,0))</f>
        <v>2.6</v>
      </c>
      <c r="K77" s="43" t="n">
        <f aca="false">INDEX('Cost Database'!$G:$G,MATCH(H77,'Cost Database'!$A:$A,0))</f>
        <v>0</v>
      </c>
      <c r="L77" s="18" t="n">
        <f aca="false">F77*I77</f>
        <v>1356.88182583451</v>
      </c>
      <c r="M77" s="18" t="n">
        <f aca="false">F77*J77</f>
        <v>1640.88034752081</v>
      </c>
      <c r="N77" s="18" t="n">
        <f aca="false">F77*K77</f>
        <v>0</v>
      </c>
      <c r="O77" s="18" t="n">
        <f aca="false">L77+M77+N77</f>
        <v>2997.76217335532</v>
      </c>
      <c r="P77" s="42" t="str">
        <f aca="false">INDEX('Takeoff Detail'!$U:$U,MATCH(E77,'Takeoff Detail'!$A:$A,0))</f>
        <v>Calculated</v>
      </c>
      <c r="Q77" s="42" t="str">
        <f aca="false">INDEX('Takeoff Detail'!$V:$V,MATCH(E77,'Takeoff Detail'!$A:$A,0))</f>
        <v>High</v>
      </c>
      <c r="R77" s="19" t="n">
        <f aca="false">O77/Summary!$C$4</f>
        <v>2.21727971402021</v>
      </c>
    </row>
    <row r="78" customFormat="false" ht="15" hidden="false" customHeight="false" outlineLevel="0" collapsed="false">
      <c r="A78" s="40" t="n">
        <v>77</v>
      </c>
      <c r="B78" s="40" t="s">
        <v>68</v>
      </c>
      <c r="C78" s="40" t="s">
        <v>69</v>
      </c>
      <c r="D78" s="38" t="s">
        <v>630</v>
      </c>
      <c r="E78" s="40" t="s">
        <v>629</v>
      </c>
      <c r="F78" s="41" t="n">
        <f aca="false">INDEX('Takeoff Detail'!$R:$R,MATCH(E78,'Takeoff Detail'!$A:$A,0))</f>
        <v>267.96</v>
      </c>
      <c r="G78" s="42" t="str">
        <f aca="false">INDEX('Takeoff Detail'!$P:$P,MATCH(E78,'Takeoff Detail'!$A:$A,0))</f>
        <v>LF</v>
      </c>
      <c r="H78" s="40" t="s">
        <v>629</v>
      </c>
      <c r="I78" s="43" t="n">
        <f aca="false">INDEX('Cost Database'!$E:$E,MATCH(H78,'Cost Database'!$A:$A,0))</f>
        <v>3.25</v>
      </c>
      <c r="J78" s="43" t="n">
        <f aca="false">INDEX('Cost Database'!$F:$F,MATCH(H78,'Cost Database'!$A:$A,0))</f>
        <v>3</v>
      </c>
      <c r="K78" s="43" t="n">
        <f aca="false">INDEX('Cost Database'!$G:$G,MATCH(H78,'Cost Database'!$A:$A,0))</f>
        <v>0</v>
      </c>
      <c r="L78" s="18" t="n">
        <f aca="false">F78*I78</f>
        <v>870.87</v>
      </c>
      <c r="M78" s="18" t="n">
        <f aca="false">F78*J78</f>
        <v>803.88</v>
      </c>
      <c r="N78" s="18" t="n">
        <f aca="false">F78*K78</f>
        <v>0</v>
      </c>
      <c r="O78" s="18" t="n">
        <f aca="false">L78+M78+N78</f>
        <v>1674.75</v>
      </c>
      <c r="P78" s="42" t="str">
        <f aca="false">INDEX('Takeoff Detail'!$U:$U,MATCH(E78,'Takeoff Detail'!$A:$A,0))</f>
        <v>Assumed</v>
      </c>
      <c r="Q78" s="42" t="str">
        <f aca="false">INDEX('Takeoff Detail'!$V:$V,MATCH(E78,'Takeoff Detail'!$A:$A,0))</f>
        <v>Medium</v>
      </c>
      <c r="R78" s="19" t="n">
        <f aca="false">O78/Summary!$C$4</f>
        <v>1.23872041420118</v>
      </c>
    </row>
    <row r="79" customFormat="false" ht="15" hidden="false" customHeight="false" outlineLevel="0" collapsed="false">
      <c r="A79" s="40" t="n">
        <v>78</v>
      </c>
      <c r="B79" s="40" t="s">
        <v>68</v>
      </c>
      <c r="C79" s="40" t="s">
        <v>69</v>
      </c>
      <c r="D79" s="38" t="s">
        <v>633</v>
      </c>
      <c r="E79" s="40" t="s">
        <v>632</v>
      </c>
      <c r="F79" s="41" t="n">
        <f aca="false">INDEX('Takeoff Detail'!$R:$R,MATCH(E79,'Takeoff Detail'!$A:$A,0))</f>
        <v>267.96</v>
      </c>
      <c r="G79" s="42" t="str">
        <f aca="false">INDEX('Takeoff Detail'!$P:$P,MATCH(E79,'Takeoff Detail'!$A:$A,0))</f>
        <v>LF</v>
      </c>
      <c r="H79" s="40" t="s">
        <v>632</v>
      </c>
      <c r="I79" s="43" t="n">
        <f aca="false">INDEX('Cost Database'!$E:$E,MATCH(H79,'Cost Database'!$A:$A,0))</f>
        <v>2.4</v>
      </c>
      <c r="J79" s="43" t="n">
        <f aca="false">INDEX('Cost Database'!$F:$F,MATCH(H79,'Cost Database'!$A:$A,0))</f>
        <v>2.1</v>
      </c>
      <c r="K79" s="43" t="n">
        <f aca="false">INDEX('Cost Database'!$G:$G,MATCH(H79,'Cost Database'!$A:$A,0))</f>
        <v>0</v>
      </c>
      <c r="L79" s="18" t="n">
        <f aca="false">F79*I79</f>
        <v>643.104</v>
      </c>
      <c r="M79" s="18" t="n">
        <f aca="false">F79*J79</f>
        <v>562.716</v>
      </c>
      <c r="N79" s="18" t="n">
        <f aca="false">F79*K79</f>
        <v>0</v>
      </c>
      <c r="O79" s="18" t="n">
        <f aca="false">L79+M79+N79</f>
        <v>1205.82</v>
      </c>
      <c r="P79" s="42" t="str">
        <f aca="false">INDEX('Takeoff Detail'!$U:$U,MATCH(E79,'Takeoff Detail'!$A:$A,0))</f>
        <v>Calculated</v>
      </c>
      <c r="Q79" s="42" t="str">
        <f aca="false">INDEX('Takeoff Detail'!$V:$V,MATCH(E79,'Takeoff Detail'!$A:$A,0))</f>
        <v>High</v>
      </c>
      <c r="R79" s="19" t="n">
        <f aca="false">O79/Summary!$C$4</f>
        <v>0.891878698224852</v>
      </c>
    </row>
    <row r="80" customFormat="false" ht="15" hidden="false" customHeight="false" outlineLevel="0" collapsed="false">
      <c r="A80" s="40" t="n">
        <v>79</v>
      </c>
      <c r="B80" s="40" t="s">
        <v>68</v>
      </c>
      <c r="C80" s="40" t="s">
        <v>69</v>
      </c>
      <c r="D80" s="38" t="s">
        <v>635</v>
      </c>
      <c r="E80" s="40" t="s">
        <v>634</v>
      </c>
      <c r="F80" s="41" t="n">
        <f aca="false">INDEX('Takeoff Detail'!$R:$R,MATCH(E80,'Takeoff Detail'!$A:$A,0))</f>
        <v>315.337</v>
      </c>
      <c r="G80" s="42" t="str">
        <f aca="false">INDEX('Takeoff Detail'!$P:$P,MATCH(E80,'Takeoff Detail'!$A:$A,0))</f>
        <v>LF</v>
      </c>
      <c r="H80" s="40" t="s">
        <v>634</v>
      </c>
      <c r="I80" s="43" t="n">
        <f aca="false">INDEX('Cost Database'!$E:$E,MATCH(H80,'Cost Database'!$A:$A,0))</f>
        <v>1.75</v>
      </c>
      <c r="J80" s="43" t="n">
        <f aca="false">INDEX('Cost Database'!$F:$F,MATCH(H80,'Cost Database'!$A:$A,0))</f>
        <v>2.1</v>
      </c>
      <c r="K80" s="43" t="n">
        <f aca="false">INDEX('Cost Database'!$G:$G,MATCH(H80,'Cost Database'!$A:$A,0))</f>
        <v>0</v>
      </c>
      <c r="L80" s="18" t="n">
        <f aca="false">F80*I80</f>
        <v>551.83975</v>
      </c>
      <c r="M80" s="18" t="n">
        <f aca="false">F80*J80</f>
        <v>662.2077</v>
      </c>
      <c r="N80" s="18" t="n">
        <f aca="false">F80*K80</f>
        <v>0</v>
      </c>
      <c r="O80" s="18" t="n">
        <f aca="false">L80+M80+N80</f>
        <v>1214.04745</v>
      </c>
      <c r="P80" s="42" t="str">
        <f aca="false">INDEX('Takeoff Detail'!$U:$U,MATCH(E80,'Takeoff Detail'!$A:$A,0))</f>
        <v>Calculated</v>
      </c>
      <c r="Q80" s="42" t="str">
        <f aca="false">INDEX('Takeoff Detail'!$V:$V,MATCH(E80,'Takeoff Detail'!$A:$A,0))</f>
        <v>Medium</v>
      </c>
      <c r="R80" s="19" t="n">
        <f aca="false">O80/Summary!$C$4</f>
        <v>0.897964090236687</v>
      </c>
    </row>
    <row r="81" customFormat="false" ht="15" hidden="false" customHeight="false" outlineLevel="0" collapsed="false">
      <c r="A81" s="40" t="n">
        <v>80</v>
      </c>
      <c r="B81" s="40" t="s">
        <v>68</v>
      </c>
      <c r="C81" s="40" t="s">
        <v>69</v>
      </c>
      <c r="D81" s="38" t="s">
        <v>638</v>
      </c>
      <c r="E81" s="40" t="s">
        <v>637</v>
      </c>
      <c r="F81" s="41" t="n">
        <f aca="false">INDEX('Takeoff Detail'!$R:$R,MATCH(E81,'Takeoff Detail'!$A:$A,0))</f>
        <v>192.16</v>
      </c>
      <c r="G81" s="42" t="str">
        <f aca="false">INDEX('Takeoff Detail'!$P:$P,MATCH(E81,'Takeoff Detail'!$A:$A,0))</f>
        <v>LF</v>
      </c>
      <c r="H81" s="40" t="s">
        <v>637</v>
      </c>
      <c r="I81" s="43" t="n">
        <f aca="false">INDEX('Cost Database'!$E:$E,MATCH(H81,'Cost Database'!$A:$A,0))</f>
        <v>0</v>
      </c>
      <c r="J81" s="43" t="n">
        <f aca="false">INDEX('Cost Database'!$F:$F,MATCH(H81,'Cost Database'!$A:$A,0))</f>
        <v>0</v>
      </c>
      <c r="K81" s="43" t="n">
        <f aca="false">INDEX('Cost Database'!$G:$G,MATCH(H81,'Cost Database'!$A:$A,0))</f>
        <v>8.5</v>
      </c>
      <c r="L81" s="18" t="n">
        <f aca="false">F81*I81</f>
        <v>0</v>
      </c>
      <c r="M81" s="18" t="n">
        <f aca="false">F81*J81</f>
        <v>0</v>
      </c>
      <c r="N81" s="18" t="n">
        <f aca="false">F81*K81</f>
        <v>1633.36</v>
      </c>
      <c r="O81" s="18" t="n">
        <f aca="false">L81+M81+N81</f>
        <v>1633.36</v>
      </c>
      <c r="P81" s="42" t="str">
        <f aca="false">INDEX('Takeoff Detail'!$U:$U,MATCH(E81,'Takeoff Detail'!$A:$A,0))</f>
        <v>Calculated</v>
      </c>
      <c r="Q81" s="42" t="str">
        <f aca="false">INDEX('Takeoff Detail'!$V:$V,MATCH(E81,'Takeoff Detail'!$A:$A,0))</f>
        <v>High</v>
      </c>
      <c r="R81" s="19" t="n">
        <f aca="false">O81/Summary!$C$4</f>
        <v>1.20810650887574</v>
      </c>
    </row>
    <row r="82" customFormat="false" ht="15" hidden="false" customHeight="false" outlineLevel="0" collapsed="false">
      <c r="A82" s="40" t="n">
        <v>81</v>
      </c>
      <c r="B82" s="40" t="s">
        <v>68</v>
      </c>
      <c r="C82" s="40" t="s">
        <v>69</v>
      </c>
      <c r="D82" s="38" t="s">
        <v>643</v>
      </c>
      <c r="E82" s="40" t="s">
        <v>642</v>
      </c>
      <c r="F82" s="41" t="n">
        <f aca="false">INDEX('Takeoff Detail'!$R:$R,MATCH(E82,'Takeoff Detail'!$A:$A,0))</f>
        <v>42</v>
      </c>
      <c r="G82" s="42" t="str">
        <f aca="false">INDEX('Takeoff Detail'!$P:$P,MATCH(E82,'Takeoff Detail'!$A:$A,0))</f>
        <v>LF</v>
      </c>
      <c r="H82" s="40" t="s">
        <v>642</v>
      </c>
      <c r="I82" s="43" t="n">
        <f aca="false">INDEX('Cost Database'!$E:$E,MATCH(H82,'Cost Database'!$A:$A,0))</f>
        <v>0</v>
      </c>
      <c r="J82" s="43" t="n">
        <f aca="false">INDEX('Cost Database'!$F:$F,MATCH(H82,'Cost Database'!$A:$A,0))</f>
        <v>0</v>
      </c>
      <c r="K82" s="43" t="n">
        <f aca="false">INDEX('Cost Database'!$G:$G,MATCH(H82,'Cost Database'!$A:$A,0))</f>
        <v>8</v>
      </c>
      <c r="L82" s="18" t="n">
        <f aca="false">F82*I82</f>
        <v>0</v>
      </c>
      <c r="M82" s="18" t="n">
        <f aca="false">F82*J82</f>
        <v>0</v>
      </c>
      <c r="N82" s="18" t="n">
        <f aca="false">F82*K82</f>
        <v>336</v>
      </c>
      <c r="O82" s="18" t="n">
        <f aca="false">L82+M82+N82</f>
        <v>336</v>
      </c>
      <c r="P82" s="42" t="str">
        <f aca="false">INDEX('Takeoff Detail'!$U:$U,MATCH(E82,'Takeoff Detail'!$A:$A,0))</f>
        <v>Assumed</v>
      </c>
      <c r="Q82" s="42" t="str">
        <f aca="false">INDEX('Takeoff Detail'!$V:$V,MATCH(E82,'Takeoff Detail'!$A:$A,0))</f>
        <v>Medium</v>
      </c>
      <c r="R82" s="19" t="n">
        <f aca="false">O82/Summary!$C$4</f>
        <v>0.248520710059172</v>
      </c>
    </row>
    <row r="83" customFormat="false" ht="15" hidden="false" customHeight="false" outlineLevel="0" collapsed="false">
      <c r="A83" s="40" t="n">
        <v>82</v>
      </c>
      <c r="B83" s="40" t="s">
        <v>68</v>
      </c>
      <c r="C83" s="40" t="s">
        <v>69</v>
      </c>
      <c r="D83" s="38" t="s">
        <v>647</v>
      </c>
      <c r="E83" s="40" t="s">
        <v>646</v>
      </c>
      <c r="F83" s="41" t="n">
        <f aca="false">INDEX('Takeoff Detail'!$R:$R,MATCH(E83,'Takeoff Detail'!$A:$A,0))</f>
        <v>267.96</v>
      </c>
      <c r="G83" s="42" t="str">
        <f aca="false">INDEX('Takeoff Detail'!$P:$P,MATCH(E83,'Takeoff Detail'!$A:$A,0))</f>
        <v>LF</v>
      </c>
      <c r="H83" s="40" t="s">
        <v>646</v>
      </c>
      <c r="I83" s="43" t="n">
        <f aca="false">INDEX('Cost Database'!$E:$E,MATCH(H83,'Cost Database'!$A:$A,0))</f>
        <v>0.85</v>
      </c>
      <c r="J83" s="43" t="n">
        <f aca="false">INDEX('Cost Database'!$F:$F,MATCH(H83,'Cost Database'!$A:$A,0))</f>
        <v>0.4</v>
      </c>
      <c r="K83" s="43" t="n">
        <f aca="false">INDEX('Cost Database'!$G:$G,MATCH(H83,'Cost Database'!$A:$A,0))</f>
        <v>0</v>
      </c>
      <c r="L83" s="18" t="n">
        <f aca="false">F83*I83</f>
        <v>227.766</v>
      </c>
      <c r="M83" s="18" t="n">
        <f aca="false">F83*J83</f>
        <v>107.184</v>
      </c>
      <c r="N83" s="18" t="n">
        <f aca="false">F83*K83</f>
        <v>0</v>
      </c>
      <c r="O83" s="18" t="n">
        <f aca="false">L83+M83+N83</f>
        <v>334.95</v>
      </c>
      <c r="P83" s="42" t="str">
        <f aca="false">INDEX('Takeoff Detail'!$U:$U,MATCH(E83,'Takeoff Detail'!$A:$A,0))</f>
        <v>Calculated</v>
      </c>
      <c r="Q83" s="42" t="str">
        <f aca="false">INDEX('Takeoff Detail'!$V:$V,MATCH(E83,'Takeoff Detail'!$A:$A,0))</f>
        <v>High</v>
      </c>
      <c r="R83" s="19" t="n">
        <f aca="false">O83/Summary!$C$4</f>
        <v>0.247744082840237</v>
      </c>
    </row>
    <row r="84" customFormat="false" ht="15" hidden="false" customHeight="false" outlineLevel="0" collapsed="false">
      <c r="A84" s="40" t="n">
        <v>83</v>
      </c>
      <c r="B84" s="40" t="s">
        <v>68</v>
      </c>
      <c r="C84" s="40" t="s">
        <v>69</v>
      </c>
      <c r="D84" s="38" t="s">
        <v>650</v>
      </c>
      <c r="E84" s="40" t="s">
        <v>649</v>
      </c>
      <c r="F84" s="41" t="n">
        <f aca="false">INDEX('Takeoff Detail'!$R:$R,MATCH(E84,'Takeoff Detail'!$A:$A,0))</f>
        <v>201.768</v>
      </c>
      <c r="G84" s="42" t="str">
        <f aca="false">INDEX('Takeoff Detail'!$P:$P,MATCH(E84,'Takeoff Detail'!$A:$A,0))</f>
        <v>LF</v>
      </c>
      <c r="H84" s="40" t="s">
        <v>649</v>
      </c>
      <c r="I84" s="43" t="n">
        <f aca="false">INDEX('Cost Database'!$E:$E,MATCH(H84,'Cost Database'!$A:$A,0))</f>
        <v>0.75</v>
      </c>
      <c r="J84" s="43" t="n">
        <f aca="false">INDEX('Cost Database'!$F:$F,MATCH(H84,'Cost Database'!$A:$A,0))</f>
        <v>0.25</v>
      </c>
      <c r="K84" s="43" t="n">
        <f aca="false">INDEX('Cost Database'!$G:$G,MATCH(H84,'Cost Database'!$A:$A,0))</f>
        <v>0</v>
      </c>
      <c r="L84" s="18" t="n">
        <f aca="false">F84*I84</f>
        <v>151.326</v>
      </c>
      <c r="M84" s="18" t="n">
        <f aca="false">F84*J84</f>
        <v>50.442</v>
      </c>
      <c r="N84" s="18" t="n">
        <f aca="false">F84*K84</f>
        <v>0</v>
      </c>
      <c r="O84" s="18" t="n">
        <f aca="false">L84+M84+N84</f>
        <v>201.768</v>
      </c>
      <c r="P84" s="42" t="str">
        <f aca="false">INDEX('Takeoff Detail'!$U:$U,MATCH(E84,'Takeoff Detail'!$A:$A,0))</f>
        <v>Calculated</v>
      </c>
      <c r="Q84" s="42" t="str">
        <f aca="false">INDEX('Takeoff Detail'!$V:$V,MATCH(E84,'Takeoff Detail'!$A:$A,0))</f>
        <v>High</v>
      </c>
      <c r="R84" s="19" t="n">
        <f aca="false">O84/Summary!$C$4</f>
        <v>0.149236686390533</v>
      </c>
    </row>
    <row r="85" customFormat="false" ht="15" hidden="false" customHeight="false" outlineLevel="0" collapsed="false">
      <c r="A85" s="40" t="n">
        <v>84</v>
      </c>
      <c r="B85" s="40" t="s">
        <v>68</v>
      </c>
      <c r="C85" s="40" t="s">
        <v>69</v>
      </c>
      <c r="D85" s="38" t="s">
        <v>653</v>
      </c>
      <c r="E85" s="40" t="s">
        <v>652</v>
      </c>
      <c r="F85" s="41" t="n">
        <f aca="false">INDEX('Takeoff Detail'!$R:$R,MATCH(E85,'Takeoff Detail'!$A:$A,0))</f>
        <v>1</v>
      </c>
      <c r="G85" s="42" t="str">
        <f aca="false">INDEX('Takeoff Detail'!$P:$P,MATCH(E85,'Takeoff Detail'!$A:$A,0))</f>
        <v>LS</v>
      </c>
      <c r="H85" s="40" t="s">
        <v>652</v>
      </c>
      <c r="I85" s="43" t="n">
        <f aca="false">INDEX('Cost Database'!$E:$E,MATCH(H85,'Cost Database'!$A:$A,0))</f>
        <v>225</v>
      </c>
      <c r="J85" s="43" t="n">
        <f aca="false">INDEX('Cost Database'!$F:$F,MATCH(H85,'Cost Database'!$A:$A,0))</f>
        <v>150</v>
      </c>
      <c r="K85" s="43" t="n">
        <f aca="false">INDEX('Cost Database'!$G:$G,MATCH(H85,'Cost Database'!$A:$A,0))</f>
        <v>0</v>
      </c>
      <c r="L85" s="18" t="n">
        <f aca="false">F85*I85</f>
        <v>225</v>
      </c>
      <c r="M85" s="18" t="n">
        <f aca="false">F85*J85</f>
        <v>150</v>
      </c>
      <c r="N85" s="18" t="n">
        <f aca="false">F85*K85</f>
        <v>0</v>
      </c>
      <c r="O85" s="18" t="n">
        <f aca="false">L85+M85+N85</f>
        <v>375</v>
      </c>
      <c r="P85" s="42" t="str">
        <f aca="false">INDEX('Takeoff Detail'!$U:$U,MATCH(E85,'Takeoff Detail'!$A:$A,0))</f>
        <v>Allowance</v>
      </c>
      <c r="Q85" s="42" t="str">
        <f aca="false">INDEX('Takeoff Detail'!$V:$V,MATCH(E85,'Takeoff Detail'!$A:$A,0))</f>
        <v>Medium</v>
      </c>
      <c r="R85" s="19" t="n">
        <f aca="false">O85/Summary!$C$4</f>
        <v>0.277366863905325</v>
      </c>
    </row>
    <row r="86" customFormat="false" ht="15" hidden="false" customHeight="false" outlineLevel="0" collapsed="false">
      <c r="A86" s="40" t="n">
        <v>85</v>
      </c>
      <c r="B86" s="40" t="s">
        <v>68</v>
      </c>
      <c r="C86" s="40" t="s">
        <v>69</v>
      </c>
      <c r="D86" s="38" t="s">
        <v>655</v>
      </c>
      <c r="E86" s="40" t="s">
        <v>654</v>
      </c>
      <c r="F86" s="41" t="n">
        <f aca="false">INDEX('Takeoff Detail'!$R:$R,MATCH(E86,'Takeoff Detail'!$A:$A,0))</f>
        <v>1</v>
      </c>
      <c r="G86" s="42" t="str">
        <f aca="false">INDEX('Takeoff Detail'!$P:$P,MATCH(E86,'Takeoff Detail'!$A:$A,0))</f>
        <v>LS</v>
      </c>
      <c r="H86" s="40" t="s">
        <v>654</v>
      </c>
      <c r="I86" s="43" t="n">
        <f aca="false">INDEX('Cost Database'!$E:$E,MATCH(H86,'Cost Database'!$A:$A,0))</f>
        <v>450</v>
      </c>
      <c r="J86" s="43" t="n">
        <f aca="false">INDEX('Cost Database'!$F:$F,MATCH(H86,'Cost Database'!$A:$A,0))</f>
        <v>500</v>
      </c>
      <c r="K86" s="43" t="n">
        <f aca="false">INDEX('Cost Database'!$G:$G,MATCH(H86,'Cost Database'!$A:$A,0))</f>
        <v>0</v>
      </c>
      <c r="L86" s="18" t="n">
        <f aca="false">F86*I86</f>
        <v>450</v>
      </c>
      <c r="M86" s="18" t="n">
        <f aca="false">F86*J86</f>
        <v>500</v>
      </c>
      <c r="N86" s="18" t="n">
        <f aca="false">F86*K86</f>
        <v>0</v>
      </c>
      <c r="O86" s="18" t="n">
        <f aca="false">L86+M86+N86</f>
        <v>950</v>
      </c>
      <c r="P86" s="42" t="str">
        <f aca="false">INDEX('Takeoff Detail'!$U:$U,MATCH(E86,'Takeoff Detail'!$A:$A,0))</f>
        <v>Allowance</v>
      </c>
      <c r="Q86" s="42" t="str">
        <f aca="false">INDEX('Takeoff Detail'!$V:$V,MATCH(E86,'Takeoff Detail'!$A:$A,0))</f>
        <v>Medium</v>
      </c>
      <c r="R86" s="19" t="n">
        <f aca="false">O86/Summary!$C$4</f>
        <v>0.702662721893491</v>
      </c>
    </row>
    <row r="87" customFormat="false" ht="15" hidden="false" customHeight="false" outlineLevel="0" collapsed="false">
      <c r="A87" s="40" t="n">
        <v>86</v>
      </c>
      <c r="B87" s="40" t="s">
        <v>70</v>
      </c>
      <c r="C87" s="40" t="s">
        <v>71</v>
      </c>
      <c r="D87" s="38" t="s">
        <v>657</v>
      </c>
      <c r="E87" s="40" t="s">
        <v>656</v>
      </c>
      <c r="F87" s="41" t="n">
        <f aca="false">INDEX('Takeoff Detail'!$R:$R,MATCH(E87,'Takeoff Detail'!$A:$A,0))</f>
        <v>5</v>
      </c>
      <c r="G87" s="42" t="str">
        <f aca="false">INDEX('Takeoff Detail'!$P:$P,MATCH(E87,'Takeoff Detail'!$A:$A,0))</f>
        <v>EA</v>
      </c>
      <c r="H87" s="40" t="s">
        <v>656</v>
      </c>
      <c r="I87" s="43" t="n">
        <f aca="false">INDEX('Cost Database'!$E:$E,MATCH(H87,'Cost Database'!$A:$A,0))</f>
        <v>420</v>
      </c>
      <c r="J87" s="43" t="n">
        <f aca="false">INDEX('Cost Database'!$F:$F,MATCH(H87,'Cost Database'!$A:$A,0))</f>
        <v>95</v>
      </c>
      <c r="K87" s="43" t="n">
        <f aca="false">INDEX('Cost Database'!$G:$G,MATCH(H87,'Cost Database'!$A:$A,0))</f>
        <v>0</v>
      </c>
      <c r="L87" s="18" t="n">
        <f aca="false">F87*I87</f>
        <v>2100</v>
      </c>
      <c r="M87" s="18" t="n">
        <f aca="false">F87*J87</f>
        <v>475</v>
      </c>
      <c r="N87" s="18" t="n">
        <f aca="false">F87*K87</f>
        <v>0</v>
      </c>
      <c r="O87" s="18" t="n">
        <f aca="false">L87+M87+N87</f>
        <v>2575</v>
      </c>
      <c r="P87" s="42" t="str">
        <f aca="false">INDEX('Takeoff Detail'!$U:$U,MATCH(E87,'Takeoff Detail'!$A:$A,0))</f>
        <v>Measured</v>
      </c>
      <c r="Q87" s="42" t="str">
        <f aca="false">INDEX('Takeoff Detail'!$V:$V,MATCH(E87,'Takeoff Detail'!$A:$A,0))</f>
        <v>High</v>
      </c>
      <c r="R87" s="19" t="n">
        <f aca="false">O87/Summary!$C$4</f>
        <v>1.90458579881657</v>
      </c>
    </row>
    <row r="88" customFormat="false" ht="15" hidden="false" customHeight="false" outlineLevel="0" collapsed="false">
      <c r="A88" s="40" t="n">
        <v>87</v>
      </c>
      <c r="B88" s="40" t="s">
        <v>70</v>
      </c>
      <c r="C88" s="40" t="s">
        <v>71</v>
      </c>
      <c r="D88" s="38" t="s">
        <v>662</v>
      </c>
      <c r="E88" s="40" t="s">
        <v>661</v>
      </c>
      <c r="F88" s="41" t="n">
        <f aca="false">INDEX('Takeoff Detail'!$R:$R,MATCH(E88,'Takeoff Detail'!$A:$A,0))</f>
        <v>2</v>
      </c>
      <c r="G88" s="42" t="str">
        <f aca="false">INDEX('Takeoff Detail'!$P:$P,MATCH(E88,'Takeoff Detail'!$A:$A,0))</f>
        <v>EA</v>
      </c>
      <c r="H88" s="40" t="s">
        <v>661</v>
      </c>
      <c r="I88" s="43" t="n">
        <f aca="false">INDEX('Cost Database'!$E:$E,MATCH(H88,'Cost Database'!$A:$A,0))</f>
        <v>925</v>
      </c>
      <c r="J88" s="43" t="n">
        <f aca="false">INDEX('Cost Database'!$F:$F,MATCH(H88,'Cost Database'!$A:$A,0))</f>
        <v>110</v>
      </c>
      <c r="K88" s="43" t="n">
        <f aca="false">INDEX('Cost Database'!$G:$G,MATCH(H88,'Cost Database'!$A:$A,0))</f>
        <v>0</v>
      </c>
      <c r="L88" s="18" t="n">
        <f aca="false">F88*I88</f>
        <v>1850</v>
      </c>
      <c r="M88" s="18" t="n">
        <f aca="false">F88*J88</f>
        <v>220</v>
      </c>
      <c r="N88" s="18" t="n">
        <f aca="false">F88*K88</f>
        <v>0</v>
      </c>
      <c r="O88" s="18" t="n">
        <f aca="false">L88+M88+N88</f>
        <v>2070</v>
      </c>
      <c r="P88" s="42" t="str">
        <f aca="false">INDEX('Takeoff Detail'!$U:$U,MATCH(E88,'Takeoff Detail'!$A:$A,0))</f>
        <v>Measured</v>
      </c>
      <c r="Q88" s="42" t="str">
        <f aca="false">INDEX('Takeoff Detail'!$V:$V,MATCH(E88,'Takeoff Detail'!$A:$A,0))</f>
        <v>High</v>
      </c>
      <c r="R88" s="19" t="n">
        <f aca="false">O88/Summary!$C$4</f>
        <v>1.5310650887574</v>
      </c>
    </row>
    <row r="89" customFormat="false" ht="15" hidden="false" customHeight="false" outlineLevel="0" collapsed="false">
      <c r="A89" s="40" t="n">
        <v>88</v>
      </c>
      <c r="B89" s="40" t="s">
        <v>70</v>
      </c>
      <c r="C89" s="40" t="s">
        <v>71</v>
      </c>
      <c r="D89" s="38" t="s">
        <v>668</v>
      </c>
      <c r="E89" s="40" t="s">
        <v>667</v>
      </c>
      <c r="F89" s="41" t="n">
        <f aca="false">INDEX('Takeoff Detail'!$R:$R,MATCH(E89,'Takeoff Detail'!$A:$A,0))</f>
        <v>1</v>
      </c>
      <c r="G89" s="42" t="str">
        <f aca="false">INDEX('Takeoff Detail'!$P:$P,MATCH(E89,'Takeoff Detail'!$A:$A,0))</f>
        <v>EA</v>
      </c>
      <c r="H89" s="40" t="s">
        <v>667</v>
      </c>
      <c r="I89" s="43" t="n">
        <f aca="false">INDEX('Cost Database'!$E:$E,MATCH(H89,'Cost Database'!$A:$A,0))</f>
        <v>215</v>
      </c>
      <c r="J89" s="43" t="n">
        <f aca="false">INDEX('Cost Database'!$F:$F,MATCH(H89,'Cost Database'!$A:$A,0))</f>
        <v>85</v>
      </c>
      <c r="K89" s="43" t="n">
        <f aca="false">INDEX('Cost Database'!$G:$G,MATCH(H89,'Cost Database'!$A:$A,0))</f>
        <v>0</v>
      </c>
      <c r="L89" s="18" t="n">
        <f aca="false">F89*I89</f>
        <v>215</v>
      </c>
      <c r="M89" s="18" t="n">
        <f aca="false">F89*J89</f>
        <v>85</v>
      </c>
      <c r="N89" s="18" t="n">
        <f aca="false">F89*K89</f>
        <v>0</v>
      </c>
      <c r="O89" s="18" t="n">
        <f aca="false">L89+M89+N89</f>
        <v>300</v>
      </c>
      <c r="P89" s="42" t="str">
        <f aca="false">INDEX('Takeoff Detail'!$U:$U,MATCH(E89,'Takeoff Detail'!$A:$A,0))</f>
        <v>Measured</v>
      </c>
      <c r="Q89" s="42" t="str">
        <f aca="false">INDEX('Takeoff Detail'!$V:$V,MATCH(E89,'Takeoff Detail'!$A:$A,0))</f>
        <v>High</v>
      </c>
      <c r="R89" s="19" t="n">
        <f aca="false">O89/Summary!$C$4</f>
        <v>0.22189349112426</v>
      </c>
    </row>
    <row r="90" customFormat="false" ht="28.35" hidden="false" customHeight="false" outlineLevel="0" collapsed="false">
      <c r="A90" s="40" t="n">
        <v>89</v>
      </c>
      <c r="B90" s="40" t="s">
        <v>70</v>
      </c>
      <c r="C90" s="40" t="s">
        <v>71</v>
      </c>
      <c r="D90" s="38" t="s">
        <v>672</v>
      </c>
      <c r="E90" s="40" t="s">
        <v>671</v>
      </c>
      <c r="F90" s="41" t="n">
        <f aca="false">INDEX('Takeoff Detail'!$R:$R,MATCH(E90,'Takeoff Detail'!$A:$A,0))</f>
        <v>3</v>
      </c>
      <c r="G90" s="42" t="str">
        <f aca="false">INDEX('Takeoff Detail'!$P:$P,MATCH(E90,'Takeoff Detail'!$A:$A,0))</f>
        <v>EA</v>
      </c>
      <c r="H90" s="40" t="s">
        <v>671</v>
      </c>
      <c r="I90" s="43" t="n">
        <f aca="false">INDEX('Cost Database'!$E:$E,MATCH(H90,'Cost Database'!$A:$A,0))</f>
        <v>335</v>
      </c>
      <c r="J90" s="43" t="n">
        <f aca="false">INDEX('Cost Database'!$F:$F,MATCH(H90,'Cost Database'!$A:$A,0))</f>
        <v>95</v>
      </c>
      <c r="K90" s="43" t="n">
        <f aca="false">INDEX('Cost Database'!$G:$G,MATCH(H90,'Cost Database'!$A:$A,0))</f>
        <v>0</v>
      </c>
      <c r="L90" s="18" t="n">
        <f aca="false">F90*I90</f>
        <v>1005</v>
      </c>
      <c r="M90" s="18" t="n">
        <f aca="false">F90*J90</f>
        <v>285</v>
      </c>
      <c r="N90" s="18" t="n">
        <f aca="false">F90*K90</f>
        <v>0</v>
      </c>
      <c r="O90" s="18" t="n">
        <f aca="false">L90+M90+N90</f>
        <v>1290</v>
      </c>
      <c r="P90" s="42" t="str">
        <f aca="false">INDEX('Takeoff Detail'!$U:$U,MATCH(E90,'Takeoff Detail'!$A:$A,0))</f>
        <v>Measured</v>
      </c>
      <c r="Q90" s="42" t="str">
        <f aca="false">INDEX('Takeoff Detail'!$V:$V,MATCH(E90,'Takeoff Detail'!$A:$A,0))</f>
        <v>High</v>
      </c>
      <c r="R90" s="19" t="n">
        <f aca="false">O90/Summary!$C$4</f>
        <v>0.95414201183432</v>
      </c>
    </row>
    <row r="91" customFormat="false" ht="28.35" hidden="false" customHeight="false" outlineLevel="0" collapsed="false">
      <c r="A91" s="40" t="n">
        <v>90</v>
      </c>
      <c r="B91" s="40" t="s">
        <v>70</v>
      </c>
      <c r="C91" s="40" t="s">
        <v>71</v>
      </c>
      <c r="D91" s="38" t="s">
        <v>676</v>
      </c>
      <c r="E91" s="40" t="s">
        <v>227</v>
      </c>
      <c r="F91" s="41" t="n">
        <f aca="false">INDEX('Takeoff Detail'!$R:$R,MATCH(E91,'Takeoff Detail'!$A:$A,0))</f>
        <v>1</v>
      </c>
      <c r="G91" s="42" t="str">
        <f aca="false">INDEX('Takeoff Detail'!$P:$P,MATCH(E91,'Takeoff Detail'!$A:$A,0))</f>
        <v>EA</v>
      </c>
      <c r="H91" s="40" t="s">
        <v>227</v>
      </c>
      <c r="I91" s="43" t="n">
        <f aca="false">INDEX('Cost Database'!$E:$E,MATCH(H91,'Cost Database'!$A:$A,0))</f>
        <v>1950</v>
      </c>
      <c r="J91" s="43" t="n">
        <f aca="false">INDEX('Cost Database'!$F:$F,MATCH(H91,'Cost Database'!$A:$A,0))</f>
        <v>275</v>
      </c>
      <c r="K91" s="43" t="n">
        <f aca="false">INDEX('Cost Database'!$G:$G,MATCH(H91,'Cost Database'!$A:$A,0))</f>
        <v>0</v>
      </c>
      <c r="L91" s="18" t="n">
        <f aca="false">F91*I91</f>
        <v>1950</v>
      </c>
      <c r="M91" s="18" t="n">
        <f aca="false">F91*J91</f>
        <v>275</v>
      </c>
      <c r="N91" s="18" t="n">
        <f aca="false">F91*K91</f>
        <v>0</v>
      </c>
      <c r="O91" s="18" t="n">
        <f aca="false">L91+M91+N91</f>
        <v>2225</v>
      </c>
      <c r="P91" s="42" t="str">
        <f aca="false">INDEX('Takeoff Detail'!$U:$U,MATCH(E91,'Takeoff Detail'!$A:$A,0))</f>
        <v>Measured</v>
      </c>
      <c r="Q91" s="42" t="str">
        <f aca="false">INDEX('Takeoff Detail'!$V:$V,MATCH(E91,'Takeoff Detail'!$A:$A,0))</f>
        <v>Medium</v>
      </c>
      <c r="R91" s="19" t="n">
        <f aca="false">O91/Summary!$C$4</f>
        <v>1.6457100591716</v>
      </c>
    </row>
    <row r="92" customFormat="false" ht="15" hidden="false" customHeight="false" outlineLevel="0" collapsed="false">
      <c r="A92" s="40" t="n">
        <v>91</v>
      </c>
      <c r="B92" s="40" t="s">
        <v>70</v>
      </c>
      <c r="C92" s="40" t="s">
        <v>71</v>
      </c>
      <c r="D92" s="38" t="s">
        <v>680</v>
      </c>
      <c r="E92" s="40" t="s">
        <v>679</v>
      </c>
      <c r="F92" s="41" t="n">
        <f aca="false">INDEX('Takeoff Detail'!$R:$R,MATCH(E92,'Takeoff Detail'!$A:$A,0))</f>
        <v>1</v>
      </c>
      <c r="G92" s="42" t="str">
        <f aca="false">INDEX('Takeoff Detail'!$P:$P,MATCH(E92,'Takeoff Detail'!$A:$A,0))</f>
        <v>EA</v>
      </c>
      <c r="H92" s="40" t="s">
        <v>679</v>
      </c>
      <c r="I92" s="43" t="n">
        <f aca="false">INDEX('Cost Database'!$E:$E,MATCH(H92,'Cost Database'!$A:$A,0))</f>
        <v>520</v>
      </c>
      <c r="J92" s="43" t="n">
        <f aca="false">INDEX('Cost Database'!$F:$F,MATCH(H92,'Cost Database'!$A:$A,0))</f>
        <v>185</v>
      </c>
      <c r="K92" s="43" t="n">
        <f aca="false">INDEX('Cost Database'!$G:$G,MATCH(H92,'Cost Database'!$A:$A,0))</f>
        <v>0</v>
      </c>
      <c r="L92" s="18" t="n">
        <f aca="false">F92*I92</f>
        <v>520</v>
      </c>
      <c r="M92" s="18" t="n">
        <f aca="false">F92*J92</f>
        <v>185</v>
      </c>
      <c r="N92" s="18" t="n">
        <f aca="false">F92*K92</f>
        <v>0</v>
      </c>
      <c r="O92" s="18" t="n">
        <f aca="false">L92+M92+N92</f>
        <v>705</v>
      </c>
      <c r="P92" s="42" t="str">
        <f aca="false">INDEX('Takeoff Detail'!$U:$U,MATCH(E92,'Takeoff Detail'!$A:$A,0))</f>
        <v>Measured</v>
      </c>
      <c r="Q92" s="42" t="str">
        <f aca="false">INDEX('Takeoff Detail'!$V:$V,MATCH(E92,'Takeoff Detail'!$A:$A,0))</f>
        <v>High</v>
      </c>
      <c r="R92" s="19" t="n">
        <f aca="false">O92/Summary!$C$4</f>
        <v>0.521449704142012</v>
      </c>
    </row>
    <row r="93" customFormat="false" ht="15" hidden="false" customHeight="false" outlineLevel="0" collapsed="false">
      <c r="A93" s="40" t="n">
        <v>92</v>
      </c>
      <c r="B93" s="40" t="s">
        <v>70</v>
      </c>
      <c r="C93" s="40" t="s">
        <v>71</v>
      </c>
      <c r="D93" s="38" t="s">
        <v>683</v>
      </c>
      <c r="E93" s="40" t="s">
        <v>682</v>
      </c>
      <c r="F93" s="41" t="n">
        <f aca="false">INDEX('Takeoff Detail'!$R:$R,MATCH(E93,'Takeoff Detail'!$A:$A,0))</f>
        <v>1</v>
      </c>
      <c r="G93" s="42" t="str">
        <f aca="false">INDEX('Takeoff Detail'!$P:$P,MATCH(E93,'Takeoff Detail'!$A:$A,0))</f>
        <v>EA</v>
      </c>
      <c r="H93" s="40" t="s">
        <v>682</v>
      </c>
      <c r="I93" s="43" t="n">
        <f aca="false">INDEX('Cost Database'!$E:$E,MATCH(H93,'Cost Database'!$A:$A,0))</f>
        <v>365</v>
      </c>
      <c r="J93" s="43" t="n">
        <f aca="false">INDEX('Cost Database'!$F:$F,MATCH(H93,'Cost Database'!$A:$A,0))</f>
        <v>185</v>
      </c>
      <c r="K93" s="43" t="n">
        <f aca="false">INDEX('Cost Database'!$G:$G,MATCH(H93,'Cost Database'!$A:$A,0))</f>
        <v>0</v>
      </c>
      <c r="L93" s="18" t="n">
        <f aca="false">F93*I93</f>
        <v>365</v>
      </c>
      <c r="M93" s="18" t="n">
        <f aca="false">F93*J93</f>
        <v>185</v>
      </c>
      <c r="N93" s="18" t="n">
        <f aca="false">F93*K93</f>
        <v>0</v>
      </c>
      <c r="O93" s="18" t="n">
        <f aca="false">L93+M93+N93</f>
        <v>550</v>
      </c>
      <c r="P93" s="42" t="str">
        <f aca="false">INDEX('Takeoff Detail'!$U:$U,MATCH(E93,'Takeoff Detail'!$A:$A,0))</f>
        <v>Measured</v>
      </c>
      <c r="Q93" s="42" t="str">
        <f aca="false">INDEX('Takeoff Detail'!$V:$V,MATCH(E93,'Takeoff Detail'!$A:$A,0))</f>
        <v>High</v>
      </c>
      <c r="R93" s="19" t="n">
        <f aca="false">O93/Summary!$C$4</f>
        <v>0.406804733727811</v>
      </c>
    </row>
    <row r="94" customFormat="false" ht="28.35" hidden="false" customHeight="false" outlineLevel="0" collapsed="false">
      <c r="A94" s="40" t="n">
        <v>93</v>
      </c>
      <c r="B94" s="40" t="s">
        <v>70</v>
      </c>
      <c r="C94" s="40" t="s">
        <v>71</v>
      </c>
      <c r="D94" s="38" t="s">
        <v>686</v>
      </c>
      <c r="E94" s="40" t="s">
        <v>685</v>
      </c>
      <c r="F94" s="41" t="n">
        <f aca="false">INDEX('Takeoff Detail'!$R:$R,MATCH(E94,'Takeoff Detail'!$A:$A,0))</f>
        <v>5</v>
      </c>
      <c r="G94" s="42" t="str">
        <f aca="false">INDEX('Takeoff Detail'!$P:$P,MATCH(E94,'Takeoff Detail'!$A:$A,0))</f>
        <v>EA</v>
      </c>
      <c r="H94" s="40" t="s">
        <v>685</v>
      </c>
      <c r="I94" s="43" t="n">
        <f aca="false">INDEX('Cost Database'!$E:$E,MATCH(H94,'Cost Database'!$A:$A,0))</f>
        <v>195</v>
      </c>
      <c r="J94" s="43" t="n">
        <f aca="false">INDEX('Cost Database'!$F:$F,MATCH(H94,'Cost Database'!$A:$A,0))</f>
        <v>95</v>
      </c>
      <c r="K94" s="43" t="n">
        <f aca="false">INDEX('Cost Database'!$G:$G,MATCH(H94,'Cost Database'!$A:$A,0))</f>
        <v>0</v>
      </c>
      <c r="L94" s="18" t="n">
        <f aca="false">F94*I94</f>
        <v>975</v>
      </c>
      <c r="M94" s="18" t="n">
        <f aca="false">F94*J94</f>
        <v>475</v>
      </c>
      <c r="N94" s="18" t="n">
        <f aca="false">F94*K94</f>
        <v>0</v>
      </c>
      <c r="O94" s="18" t="n">
        <f aca="false">L94+M94+N94</f>
        <v>1450</v>
      </c>
      <c r="P94" s="42" t="str">
        <f aca="false">INDEX('Takeoff Detail'!$U:$U,MATCH(E94,'Takeoff Detail'!$A:$A,0))</f>
        <v>Measured</v>
      </c>
      <c r="Q94" s="42" t="str">
        <f aca="false">INDEX('Takeoff Detail'!$V:$V,MATCH(E94,'Takeoff Detail'!$A:$A,0))</f>
        <v>High</v>
      </c>
      <c r="R94" s="19" t="n">
        <f aca="false">O94/Summary!$C$4</f>
        <v>1.07248520710059</v>
      </c>
    </row>
    <row r="95" customFormat="false" ht="15" hidden="false" customHeight="false" outlineLevel="0" collapsed="false">
      <c r="A95" s="40" t="n">
        <v>94</v>
      </c>
      <c r="B95" s="40" t="s">
        <v>70</v>
      </c>
      <c r="C95" s="40" t="s">
        <v>71</v>
      </c>
      <c r="D95" s="38" t="s">
        <v>688</v>
      </c>
      <c r="E95" s="40" t="s">
        <v>687</v>
      </c>
      <c r="F95" s="41" t="n">
        <f aca="false">INDEX('Takeoff Detail'!$R:$R,MATCH(E95,'Takeoff Detail'!$A:$A,0))</f>
        <v>2</v>
      </c>
      <c r="G95" s="42" t="str">
        <f aca="false">INDEX('Takeoff Detail'!$P:$P,MATCH(E95,'Takeoff Detail'!$A:$A,0))</f>
        <v>EA</v>
      </c>
      <c r="H95" s="40" t="s">
        <v>687</v>
      </c>
      <c r="I95" s="43" t="n">
        <f aca="false">INDEX('Cost Database'!$E:$E,MATCH(H95,'Cost Database'!$A:$A,0))</f>
        <v>395</v>
      </c>
      <c r="J95" s="43" t="n">
        <f aca="false">INDEX('Cost Database'!$F:$F,MATCH(H95,'Cost Database'!$A:$A,0))</f>
        <v>145</v>
      </c>
      <c r="K95" s="43" t="n">
        <f aca="false">INDEX('Cost Database'!$G:$G,MATCH(H95,'Cost Database'!$A:$A,0))</f>
        <v>0</v>
      </c>
      <c r="L95" s="18" t="n">
        <f aca="false">F95*I95</f>
        <v>790</v>
      </c>
      <c r="M95" s="18" t="n">
        <f aca="false">F95*J95</f>
        <v>290</v>
      </c>
      <c r="N95" s="18" t="n">
        <f aca="false">F95*K95</f>
        <v>0</v>
      </c>
      <c r="O95" s="18" t="n">
        <f aca="false">L95+M95+N95</f>
        <v>1080</v>
      </c>
      <c r="P95" s="42" t="str">
        <f aca="false">INDEX('Takeoff Detail'!$U:$U,MATCH(E95,'Takeoff Detail'!$A:$A,0))</f>
        <v>Measured</v>
      </c>
      <c r="Q95" s="42" t="str">
        <f aca="false">INDEX('Takeoff Detail'!$V:$V,MATCH(E95,'Takeoff Detail'!$A:$A,0))</f>
        <v>High</v>
      </c>
      <c r="R95" s="19" t="n">
        <f aca="false">O95/Summary!$C$4</f>
        <v>0.798816568047337</v>
      </c>
    </row>
    <row r="96" customFormat="false" ht="15" hidden="false" customHeight="false" outlineLevel="0" collapsed="false">
      <c r="A96" s="40" t="n">
        <v>95</v>
      </c>
      <c r="B96" s="40" t="s">
        <v>70</v>
      </c>
      <c r="C96" s="40" t="s">
        <v>71</v>
      </c>
      <c r="D96" s="38" t="s">
        <v>692</v>
      </c>
      <c r="E96" s="40" t="s">
        <v>691</v>
      </c>
      <c r="F96" s="41" t="n">
        <f aca="false">INDEX('Takeoff Detail'!$R:$R,MATCH(E96,'Takeoff Detail'!$A:$A,0))</f>
        <v>1</v>
      </c>
      <c r="G96" s="42" t="str">
        <f aca="false">INDEX('Takeoff Detail'!$P:$P,MATCH(E96,'Takeoff Detail'!$A:$A,0))</f>
        <v>EA</v>
      </c>
      <c r="H96" s="40" t="s">
        <v>691</v>
      </c>
      <c r="I96" s="43" t="n">
        <f aca="false">INDEX('Cost Database'!$E:$E,MATCH(H96,'Cost Database'!$A:$A,0))</f>
        <v>215</v>
      </c>
      <c r="J96" s="43" t="n">
        <f aca="false">INDEX('Cost Database'!$F:$F,MATCH(H96,'Cost Database'!$A:$A,0))</f>
        <v>45</v>
      </c>
      <c r="K96" s="43" t="n">
        <f aca="false">INDEX('Cost Database'!$G:$G,MATCH(H96,'Cost Database'!$A:$A,0))</f>
        <v>0</v>
      </c>
      <c r="L96" s="18" t="n">
        <f aca="false">F96*I96</f>
        <v>215</v>
      </c>
      <c r="M96" s="18" t="n">
        <f aca="false">F96*J96</f>
        <v>45</v>
      </c>
      <c r="N96" s="18" t="n">
        <f aca="false">F96*K96</f>
        <v>0</v>
      </c>
      <c r="O96" s="18" t="n">
        <f aca="false">L96+M96+N96</f>
        <v>260</v>
      </c>
      <c r="P96" s="42" t="str">
        <f aca="false">INDEX('Takeoff Detail'!$U:$U,MATCH(E96,'Takeoff Detail'!$A:$A,0))</f>
        <v>Measured</v>
      </c>
      <c r="Q96" s="42" t="str">
        <f aca="false">INDEX('Takeoff Detail'!$V:$V,MATCH(E96,'Takeoff Detail'!$A:$A,0))</f>
        <v>High</v>
      </c>
      <c r="R96" s="19" t="n">
        <f aca="false">O96/Summary!$C$4</f>
        <v>0.192307692307692</v>
      </c>
    </row>
    <row r="97" customFormat="false" ht="15" hidden="false" customHeight="false" outlineLevel="0" collapsed="false">
      <c r="A97" s="40" t="n">
        <v>96</v>
      </c>
      <c r="B97" s="40" t="s">
        <v>70</v>
      </c>
      <c r="C97" s="40" t="s">
        <v>71</v>
      </c>
      <c r="D97" s="38" t="s">
        <v>695</v>
      </c>
      <c r="E97" s="40" t="s">
        <v>694</v>
      </c>
      <c r="F97" s="41" t="n">
        <f aca="false">INDEX('Takeoff Detail'!$R:$R,MATCH(E97,'Takeoff Detail'!$A:$A,0))</f>
        <v>2</v>
      </c>
      <c r="G97" s="42" t="str">
        <f aca="false">INDEX('Takeoff Detail'!$P:$P,MATCH(E97,'Takeoff Detail'!$A:$A,0))</f>
        <v>EA</v>
      </c>
      <c r="H97" s="40" t="s">
        <v>694</v>
      </c>
      <c r="I97" s="43" t="n">
        <f aca="false">INDEX('Cost Database'!$E:$E,MATCH(H97,'Cost Database'!$A:$A,0))</f>
        <v>95</v>
      </c>
      <c r="J97" s="43" t="n">
        <f aca="false">INDEX('Cost Database'!$F:$F,MATCH(H97,'Cost Database'!$A:$A,0))</f>
        <v>40</v>
      </c>
      <c r="K97" s="43" t="n">
        <f aca="false">INDEX('Cost Database'!$G:$G,MATCH(H97,'Cost Database'!$A:$A,0))</f>
        <v>0</v>
      </c>
      <c r="L97" s="18" t="n">
        <f aca="false">F97*I97</f>
        <v>190</v>
      </c>
      <c r="M97" s="18" t="n">
        <f aca="false">F97*J97</f>
        <v>80</v>
      </c>
      <c r="N97" s="18" t="n">
        <f aca="false">F97*K97</f>
        <v>0</v>
      </c>
      <c r="O97" s="18" t="n">
        <f aca="false">L97+M97+N97</f>
        <v>270</v>
      </c>
      <c r="P97" s="42" t="str">
        <f aca="false">INDEX('Takeoff Detail'!$U:$U,MATCH(E97,'Takeoff Detail'!$A:$A,0))</f>
        <v>Measured</v>
      </c>
      <c r="Q97" s="42" t="str">
        <f aca="false">INDEX('Takeoff Detail'!$V:$V,MATCH(E97,'Takeoff Detail'!$A:$A,0))</f>
        <v>High</v>
      </c>
      <c r="R97" s="19" t="n">
        <f aca="false">O97/Summary!$C$4</f>
        <v>0.199704142011834</v>
      </c>
    </row>
    <row r="98" customFormat="false" ht="15" hidden="false" customHeight="false" outlineLevel="0" collapsed="false">
      <c r="A98" s="40" t="n">
        <v>97</v>
      </c>
      <c r="B98" s="40" t="s">
        <v>70</v>
      </c>
      <c r="C98" s="40" t="s">
        <v>71</v>
      </c>
      <c r="D98" s="38" t="s">
        <v>698</v>
      </c>
      <c r="E98" s="40" t="s">
        <v>697</v>
      </c>
      <c r="F98" s="41" t="n">
        <f aca="false">INDEX('Takeoff Detail'!$R:$R,MATCH(E98,'Takeoff Detail'!$A:$A,0))</f>
        <v>4</v>
      </c>
      <c r="G98" s="42" t="str">
        <f aca="false">INDEX('Takeoff Detail'!$P:$P,MATCH(E98,'Takeoff Detail'!$A:$A,0))</f>
        <v>EA</v>
      </c>
      <c r="H98" s="40" t="s">
        <v>697</v>
      </c>
      <c r="I98" s="43" t="n">
        <f aca="false">INDEX('Cost Database'!$E:$E,MATCH(H98,'Cost Database'!$A:$A,0))</f>
        <v>32</v>
      </c>
      <c r="J98" s="43" t="n">
        <f aca="false">INDEX('Cost Database'!$F:$F,MATCH(H98,'Cost Database'!$A:$A,0))</f>
        <v>20</v>
      </c>
      <c r="K98" s="43" t="n">
        <f aca="false">INDEX('Cost Database'!$G:$G,MATCH(H98,'Cost Database'!$A:$A,0))</f>
        <v>0</v>
      </c>
      <c r="L98" s="18" t="n">
        <f aca="false">F98*I98</f>
        <v>128</v>
      </c>
      <c r="M98" s="18" t="n">
        <f aca="false">F98*J98</f>
        <v>80</v>
      </c>
      <c r="N98" s="18" t="n">
        <f aca="false">F98*K98</f>
        <v>0</v>
      </c>
      <c r="O98" s="18" t="n">
        <f aca="false">L98+M98+N98</f>
        <v>208</v>
      </c>
      <c r="P98" s="42" t="str">
        <f aca="false">INDEX('Takeoff Detail'!$U:$U,MATCH(E98,'Takeoff Detail'!$A:$A,0))</f>
        <v>Assumed</v>
      </c>
      <c r="Q98" s="42" t="str">
        <f aca="false">INDEX('Takeoff Detail'!$V:$V,MATCH(E98,'Takeoff Detail'!$A:$A,0))</f>
        <v>Medium</v>
      </c>
      <c r="R98" s="19" t="n">
        <f aca="false">O98/Summary!$C$4</f>
        <v>0.153846153846154</v>
      </c>
    </row>
    <row r="99" customFormat="false" ht="15" hidden="false" customHeight="false" outlineLevel="0" collapsed="false">
      <c r="A99" s="40" t="n">
        <v>98</v>
      </c>
      <c r="B99" s="40" t="s">
        <v>70</v>
      </c>
      <c r="C99" s="40" t="s">
        <v>71</v>
      </c>
      <c r="D99" s="38" t="s">
        <v>701</v>
      </c>
      <c r="E99" s="40" t="s">
        <v>700</v>
      </c>
      <c r="F99" s="41" t="n">
        <f aca="false">INDEX('Takeoff Detail'!$R:$R,MATCH(E99,'Takeoff Detail'!$A:$A,0))</f>
        <v>1</v>
      </c>
      <c r="G99" s="42" t="str">
        <f aca="false">INDEX('Takeoff Detail'!$P:$P,MATCH(E99,'Takeoff Detail'!$A:$A,0))</f>
        <v>EA</v>
      </c>
      <c r="H99" s="40" t="s">
        <v>700</v>
      </c>
      <c r="I99" s="43" t="n">
        <f aca="false">INDEX('Cost Database'!$E:$E,MATCH(H99,'Cost Database'!$A:$A,0))</f>
        <v>28</v>
      </c>
      <c r="J99" s="43" t="n">
        <f aca="false">INDEX('Cost Database'!$F:$F,MATCH(H99,'Cost Database'!$A:$A,0))</f>
        <v>20</v>
      </c>
      <c r="K99" s="43" t="n">
        <f aca="false">INDEX('Cost Database'!$G:$G,MATCH(H99,'Cost Database'!$A:$A,0))</f>
        <v>0</v>
      </c>
      <c r="L99" s="18" t="n">
        <f aca="false">F99*I99</f>
        <v>28</v>
      </c>
      <c r="M99" s="18" t="n">
        <f aca="false">F99*J99</f>
        <v>20</v>
      </c>
      <c r="N99" s="18" t="n">
        <f aca="false">F99*K99</f>
        <v>0</v>
      </c>
      <c r="O99" s="18" t="n">
        <f aca="false">L99+M99+N99</f>
        <v>48</v>
      </c>
      <c r="P99" s="42" t="str">
        <f aca="false">INDEX('Takeoff Detail'!$U:$U,MATCH(E99,'Takeoff Detail'!$A:$A,0))</f>
        <v>Assumed</v>
      </c>
      <c r="Q99" s="42" t="str">
        <f aca="false">INDEX('Takeoff Detail'!$V:$V,MATCH(E99,'Takeoff Detail'!$A:$A,0))</f>
        <v>Medium</v>
      </c>
      <c r="R99" s="19" t="n">
        <f aca="false">O99/Summary!$C$4</f>
        <v>0.0355029585798817</v>
      </c>
    </row>
    <row r="100" customFormat="false" ht="15" hidden="false" customHeight="false" outlineLevel="0" collapsed="false">
      <c r="A100" s="40" t="n">
        <v>99</v>
      </c>
      <c r="B100" s="40" t="s">
        <v>70</v>
      </c>
      <c r="C100" s="40" t="s">
        <v>71</v>
      </c>
      <c r="D100" s="38" t="s">
        <v>703</v>
      </c>
      <c r="E100" s="40" t="s">
        <v>702</v>
      </c>
      <c r="F100" s="41" t="n">
        <f aca="false">INDEX('Takeoff Detail'!$R:$R,MATCH(E100,'Takeoff Detail'!$A:$A,0))</f>
        <v>2</v>
      </c>
      <c r="G100" s="42" t="str">
        <f aca="false">INDEX('Takeoff Detail'!$P:$P,MATCH(E100,'Takeoff Detail'!$A:$A,0))</f>
        <v>EA</v>
      </c>
      <c r="H100" s="40" t="s">
        <v>702</v>
      </c>
      <c r="I100" s="43" t="n">
        <f aca="false">INDEX('Cost Database'!$E:$E,MATCH(H100,'Cost Database'!$A:$A,0))</f>
        <v>22</v>
      </c>
      <c r="J100" s="43" t="n">
        <f aca="false">INDEX('Cost Database'!$F:$F,MATCH(H100,'Cost Database'!$A:$A,0))</f>
        <v>10</v>
      </c>
      <c r="K100" s="43" t="n">
        <f aca="false">INDEX('Cost Database'!$G:$G,MATCH(H100,'Cost Database'!$A:$A,0))</f>
        <v>0</v>
      </c>
      <c r="L100" s="18" t="n">
        <f aca="false">F100*I100</f>
        <v>44</v>
      </c>
      <c r="M100" s="18" t="n">
        <f aca="false">F100*J100</f>
        <v>20</v>
      </c>
      <c r="N100" s="18" t="n">
        <f aca="false">F100*K100</f>
        <v>0</v>
      </c>
      <c r="O100" s="18" t="n">
        <f aca="false">L100+M100+N100</f>
        <v>64</v>
      </c>
      <c r="P100" s="42" t="str">
        <f aca="false">INDEX('Takeoff Detail'!$U:$U,MATCH(E100,'Takeoff Detail'!$A:$A,0))</f>
        <v>Measured</v>
      </c>
      <c r="Q100" s="42" t="str">
        <f aca="false">INDEX('Takeoff Detail'!$V:$V,MATCH(E100,'Takeoff Detail'!$A:$A,0))</f>
        <v>High</v>
      </c>
      <c r="R100" s="19" t="n">
        <f aca="false">O100/Summary!$C$4</f>
        <v>0.0473372781065089</v>
      </c>
    </row>
    <row r="101" customFormat="false" ht="15" hidden="false" customHeight="false" outlineLevel="0" collapsed="false">
      <c r="A101" s="40" t="n">
        <v>100</v>
      </c>
      <c r="B101" s="40" t="s">
        <v>70</v>
      </c>
      <c r="C101" s="40" t="s">
        <v>71</v>
      </c>
      <c r="D101" s="38" t="s">
        <v>705</v>
      </c>
      <c r="E101" s="40" t="s">
        <v>704</v>
      </c>
      <c r="F101" s="41" t="n">
        <f aca="false">INDEX('Takeoff Detail'!$R:$R,MATCH(E101,'Takeoff Detail'!$A:$A,0))</f>
        <v>8</v>
      </c>
      <c r="G101" s="42" t="str">
        <f aca="false">INDEX('Takeoff Detail'!$P:$P,MATCH(E101,'Takeoff Detail'!$A:$A,0))</f>
        <v>EA</v>
      </c>
      <c r="H101" s="40" t="s">
        <v>704</v>
      </c>
      <c r="I101" s="43" t="n">
        <f aca="false">INDEX('Cost Database'!$E:$E,MATCH(H101,'Cost Database'!$A:$A,0))</f>
        <v>5</v>
      </c>
      <c r="J101" s="43" t="n">
        <f aca="false">INDEX('Cost Database'!$F:$F,MATCH(H101,'Cost Database'!$A:$A,0))</f>
        <v>4</v>
      </c>
      <c r="K101" s="43" t="n">
        <f aca="false">INDEX('Cost Database'!$G:$G,MATCH(H101,'Cost Database'!$A:$A,0))</f>
        <v>0</v>
      </c>
      <c r="L101" s="18" t="n">
        <f aca="false">F101*I101</f>
        <v>40</v>
      </c>
      <c r="M101" s="18" t="n">
        <f aca="false">F101*J101</f>
        <v>32</v>
      </c>
      <c r="N101" s="18" t="n">
        <f aca="false">F101*K101</f>
        <v>0</v>
      </c>
      <c r="O101" s="18" t="n">
        <f aca="false">L101+M101+N101</f>
        <v>72</v>
      </c>
      <c r="P101" s="42" t="str">
        <f aca="false">INDEX('Takeoff Detail'!$U:$U,MATCH(E101,'Takeoff Detail'!$A:$A,0))</f>
        <v>Calculated</v>
      </c>
      <c r="Q101" s="42" t="str">
        <f aca="false">INDEX('Takeoff Detail'!$V:$V,MATCH(E101,'Takeoff Detail'!$A:$A,0))</f>
        <v>High</v>
      </c>
      <c r="R101" s="19" t="n">
        <f aca="false">O101/Summary!$C$4</f>
        <v>0.0532544378698225</v>
      </c>
    </row>
    <row r="102" customFormat="false" ht="15" hidden="false" customHeight="false" outlineLevel="0" collapsed="false">
      <c r="A102" s="40" t="n">
        <v>101</v>
      </c>
      <c r="B102" s="40" t="s">
        <v>72</v>
      </c>
      <c r="C102" s="40" t="s">
        <v>73</v>
      </c>
      <c r="D102" s="38" t="s">
        <v>708</v>
      </c>
      <c r="E102" s="40" t="s">
        <v>707</v>
      </c>
      <c r="F102" s="41" t="n">
        <f aca="false">INDEX('Takeoff Detail'!$R:$R,MATCH(E102,'Takeoff Detail'!$A:$A,0))</f>
        <v>3760.13344</v>
      </c>
      <c r="G102" s="42" t="str">
        <f aca="false">INDEX('Takeoff Detail'!$P:$P,MATCH(E102,'Takeoff Detail'!$A:$A,0))</f>
        <v>SF</v>
      </c>
      <c r="H102" s="40" t="s">
        <v>707</v>
      </c>
      <c r="I102" s="43" t="n">
        <f aca="false">INDEX('Cost Database'!$E:$E,MATCH(H102,'Cost Database'!$A:$A,0))</f>
        <v>0.58</v>
      </c>
      <c r="J102" s="43" t="n">
        <f aca="false">INDEX('Cost Database'!$F:$F,MATCH(H102,'Cost Database'!$A:$A,0))</f>
        <v>1.55</v>
      </c>
      <c r="K102" s="43" t="n">
        <f aca="false">INDEX('Cost Database'!$G:$G,MATCH(H102,'Cost Database'!$A:$A,0))</f>
        <v>0</v>
      </c>
      <c r="L102" s="18" t="n">
        <f aca="false">F102*I102</f>
        <v>2180.8773952</v>
      </c>
      <c r="M102" s="18" t="n">
        <f aca="false">F102*J102</f>
        <v>5828.206832</v>
      </c>
      <c r="N102" s="18" t="n">
        <f aca="false">F102*K102</f>
        <v>0</v>
      </c>
      <c r="O102" s="18" t="n">
        <f aca="false">L102+M102+N102</f>
        <v>8009.0842272</v>
      </c>
      <c r="P102" s="42" t="str">
        <f aca="false">INDEX('Takeoff Detail'!$U:$U,MATCH(E102,'Takeoff Detail'!$A:$A,0))</f>
        <v>Calculated</v>
      </c>
      <c r="Q102" s="42" t="str">
        <f aca="false">INDEX('Takeoff Detail'!$V:$V,MATCH(E102,'Takeoff Detail'!$A:$A,0))</f>
        <v>High</v>
      </c>
      <c r="R102" s="19" t="n">
        <f aca="false">O102/Summary!$C$4</f>
        <v>5.92387886627219</v>
      </c>
    </row>
    <row r="103" customFormat="false" ht="28.35" hidden="false" customHeight="false" outlineLevel="0" collapsed="false">
      <c r="A103" s="40" t="n">
        <v>102</v>
      </c>
      <c r="B103" s="40" t="s">
        <v>72</v>
      </c>
      <c r="C103" s="40" t="s">
        <v>73</v>
      </c>
      <c r="D103" s="38" t="s">
        <v>714</v>
      </c>
      <c r="E103" s="40" t="s">
        <v>713</v>
      </c>
      <c r="F103" s="41" t="n">
        <f aca="false">INDEX('Takeoff Detail'!$R:$R,MATCH(E103,'Takeoff Detail'!$A:$A,0))</f>
        <v>955</v>
      </c>
      <c r="G103" s="42" t="str">
        <f aca="false">INDEX('Takeoff Detail'!$P:$P,MATCH(E103,'Takeoff Detail'!$A:$A,0))</f>
        <v>SF</v>
      </c>
      <c r="H103" s="40" t="s">
        <v>713</v>
      </c>
      <c r="I103" s="43" t="n">
        <f aca="false">INDEX('Cost Database'!$E:$E,MATCH(H103,'Cost Database'!$A:$A,0))</f>
        <v>0.18</v>
      </c>
      <c r="J103" s="43" t="n">
        <f aca="false">INDEX('Cost Database'!$F:$F,MATCH(H103,'Cost Database'!$A:$A,0))</f>
        <v>0</v>
      </c>
      <c r="K103" s="43" t="n">
        <f aca="false">INDEX('Cost Database'!$G:$G,MATCH(H103,'Cost Database'!$A:$A,0))</f>
        <v>0</v>
      </c>
      <c r="L103" s="18" t="n">
        <f aca="false">F103*I103</f>
        <v>171.9</v>
      </c>
      <c r="M103" s="18" t="n">
        <f aca="false">F103*J103</f>
        <v>0</v>
      </c>
      <c r="N103" s="18" t="n">
        <f aca="false">F103*K103</f>
        <v>0</v>
      </c>
      <c r="O103" s="18" t="n">
        <f aca="false">L103+M103+N103</f>
        <v>171.9</v>
      </c>
      <c r="P103" s="42" t="str">
        <f aca="false">INDEX('Takeoff Detail'!$U:$U,MATCH(E103,'Takeoff Detail'!$A:$A,0))</f>
        <v>Calculated</v>
      </c>
      <c r="Q103" s="42" t="str">
        <f aca="false">INDEX('Takeoff Detail'!$V:$V,MATCH(E103,'Takeoff Detail'!$A:$A,0))</f>
        <v>Medium</v>
      </c>
      <c r="R103" s="19" t="n">
        <f aca="false">O103/Summary!$C$4</f>
        <v>0.127144970414201</v>
      </c>
    </row>
    <row r="104" customFormat="false" ht="15" hidden="false" customHeight="false" outlineLevel="0" collapsed="false">
      <c r="A104" s="40" t="n">
        <v>103</v>
      </c>
      <c r="B104" s="40" t="s">
        <v>72</v>
      </c>
      <c r="C104" s="40" t="s">
        <v>73</v>
      </c>
      <c r="D104" s="38" t="s">
        <v>718</v>
      </c>
      <c r="E104" s="40" t="s">
        <v>717</v>
      </c>
      <c r="F104" s="41" t="n">
        <f aca="false">INDEX('Takeoff Detail'!$R:$R,MATCH(E104,'Takeoff Detail'!$A:$A,0))</f>
        <v>1395.9008</v>
      </c>
      <c r="G104" s="42" t="str">
        <f aca="false">INDEX('Takeoff Detail'!$P:$P,MATCH(E104,'Takeoff Detail'!$A:$A,0))</f>
        <v>SF</v>
      </c>
      <c r="H104" s="40" t="s">
        <v>717</v>
      </c>
      <c r="I104" s="43" t="n">
        <f aca="false">INDEX('Cost Database'!$E:$E,MATCH(H104,'Cost Database'!$A:$A,0))</f>
        <v>0.72</v>
      </c>
      <c r="J104" s="43" t="n">
        <f aca="false">INDEX('Cost Database'!$F:$F,MATCH(H104,'Cost Database'!$A:$A,0))</f>
        <v>1.75</v>
      </c>
      <c r="K104" s="43" t="n">
        <f aca="false">INDEX('Cost Database'!$G:$G,MATCH(H104,'Cost Database'!$A:$A,0))</f>
        <v>0</v>
      </c>
      <c r="L104" s="18" t="n">
        <f aca="false">F104*I104</f>
        <v>1005.048576</v>
      </c>
      <c r="M104" s="18" t="n">
        <f aca="false">F104*J104</f>
        <v>2442.8264</v>
      </c>
      <c r="N104" s="18" t="n">
        <f aca="false">F104*K104</f>
        <v>0</v>
      </c>
      <c r="O104" s="18" t="n">
        <f aca="false">L104+M104+N104</f>
        <v>3447.874976</v>
      </c>
      <c r="P104" s="42" t="str">
        <f aca="false">INDEX('Takeoff Detail'!$U:$U,MATCH(E104,'Takeoff Detail'!$A:$A,0))</f>
        <v>Calculated</v>
      </c>
      <c r="Q104" s="42" t="str">
        <f aca="false">INDEX('Takeoff Detail'!$V:$V,MATCH(E104,'Takeoff Detail'!$A:$A,0))</f>
        <v>High</v>
      </c>
      <c r="R104" s="19" t="n">
        <f aca="false">O104/Summary!$C$4</f>
        <v>2.55020338461539</v>
      </c>
    </row>
    <row r="105" customFormat="false" ht="15" hidden="false" customHeight="false" outlineLevel="0" collapsed="false">
      <c r="A105" s="40" t="n">
        <v>104</v>
      </c>
      <c r="B105" s="40" t="s">
        <v>72</v>
      </c>
      <c r="C105" s="40" t="s">
        <v>73</v>
      </c>
      <c r="D105" s="38" t="s">
        <v>722</v>
      </c>
      <c r="E105" s="40" t="s">
        <v>721</v>
      </c>
      <c r="F105" s="41" t="n">
        <f aca="false">INDEX('Takeoff Detail'!$R:$R,MATCH(E105,'Takeoff Detail'!$A:$A,0))</f>
        <v>4603.602</v>
      </c>
      <c r="G105" s="42" t="str">
        <f aca="false">INDEX('Takeoff Detail'!$P:$P,MATCH(E105,'Takeoff Detail'!$A:$A,0))</f>
        <v>SF</v>
      </c>
      <c r="H105" s="40" t="s">
        <v>721</v>
      </c>
      <c r="I105" s="43" t="n">
        <f aca="false">INDEX('Cost Database'!$E:$E,MATCH(H105,'Cost Database'!$A:$A,0))</f>
        <v>0.12</v>
      </c>
      <c r="J105" s="43" t="n">
        <f aca="false">INDEX('Cost Database'!$F:$F,MATCH(H105,'Cost Database'!$A:$A,0))</f>
        <v>0</v>
      </c>
      <c r="K105" s="43" t="n">
        <f aca="false">INDEX('Cost Database'!$G:$G,MATCH(H105,'Cost Database'!$A:$A,0))</f>
        <v>0</v>
      </c>
      <c r="L105" s="18" t="n">
        <f aca="false">F105*I105</f>
        <v>552.43224</v>
      </c>
      <c r="M105" s="18" t="n">
        <f aca="false">F105*J105</f>
        <v>0</v>
      </c>
      <c r="N105" s="18" t="n">
        <f aca="false">F105*K105</f>
        <v>0</v>
      </c>
      <c r="O105" s="18" t="n">
        <f aca="false">L105+M105+N105</f>
        <v>552.43224</v>
      </c>
      <c r="P105" s="42" t="str">
        <f aca="false">INDEX('Takeoff Detail'!$U:$U,MATCH(E105,'Takeoff Detail'!$A:$A,0))</f>
        <v>Calculated</v>
      </c>
      <c r="Q105" s="42" t="str">
        <f aca="false">INDEX('Takeoff Detail'!$V:$V,MATCH(E105,'Takeoff Detail'!$A:$A,0))</f>
        <v>High</v>
      </c>
      <c r="R105" s="19" t="n">
        <f aca="false">O105/Summary!$C$4</f>
        <v>0.408603727810651</v>
      </c>
    </row>
    <row r="106" customFormat="false" ht="15" hidden="false" customHeight="false" outlineLevel="0" collapsed="false">
      <c r="A106" s="40" t="n">
        <v>105</v>
      </c>
      <c r="B106" s="40" t="s">
        <v>72</v>
      </c>
      <c r="C106" s="40" t="s">
        <v>73</v>
      </c>
      <c r="D106" s="38" t="s">
        <v>726</v>
      </c>
      <c r="E106" s="40" t="s">
        <v>725</v>
      </c>
      <c r="F106" s="41" t="n">
        <f aca="false">INDEX('Takeoff Detail'!$R:$R,MATCH(E106,'Takeoff Detail'!$A:$A,0))</f>
        <v>387.695</v>
      </c>
      <c r="G106" s="42" t="str">
        <f aca="false">INDEX('Takeoff Detail'!$P:$P,MATCH(E106,'Takeoff Detail'!$A:$A,0))</f>
        <v>LF</v>
      </c>
      <c r="H106" s="40" t="s">
        <v>725</v>
      </c>
      <c r="I106" s="43" t="n">
        <f aca="false">INDEX('Cost Database'!$E:$E,MATCH(H106,'Cost Database'!$A:$A,0))</f>
        <v>1.1</v>
      </c>
      <c r="J106" s="43" t="n">
        <f aca="false">INDEX('Cost Database'!$F:$F,MATCH(H106,'Cost Database'!$A:$A,0))</f>
        <v>1.35</v>
      </c>
      <c r="K106" s="43" t="n">
        <f aca="false">INDEX('Cost Database'!$G:$G,MATCH(H106,'Cost Database'!$A:$A,0))</f>
        <v>0</v>
      </c>
      <c r="L106" s="18" t="n">
        <f aca="false">F106*I106</f>
        <v>426.4645</v>
      </c>
      <c r="M106" s="18" t="n">
        <f aca="false">F106*J106</f>
        <v>523.38825</v>
      </c>
      <c r="N106" s="18" t="n">
        <f aca="false">F106*K106</f>
        <v>0</v>
      </c>
      <c r="O106" s="18" t="n">
        <f aca="false">L106+M106+N106</f>
        <v>949.85275</v>
      </c>
      <c r="P106" s="42" t="str">
        <f aca="false">INDEX('Takeoff Detail'!$U:$U,MATCH(E106,'Takeoff Detail'!$A:$A,0))</f>
        <v>Assumed</v>
      </c>
      <c r="Q106" s="42" t="str">
        <f aca="false">INDEX('Takeoff Detail'!$V:$V,MATCH(E106,'Takeoff Detail'!$A:$A,0))</f>
        <v>Medium</v>
      </c>
      <c r="R106" s="19" t="n">
        <f aca="false">O106/Summary!$C$4</f>
        <v>0.702553809171598</v>
      </c>
    </row>
    <row r="107" customFormat="false" ht="15" hidden="false" customHeight="false" outlineLevel="0" collapsed="false">
      <c r="A107" s="40" t="n">
        <v>106</v>
      </c>
      <c r="B107" s="40" t="s">
        <v>72</v>
      </c>
      <c r="C107" s="40" t="s">
        <v>73</v>
      </c>
      <c r="D107" s="38" t="s">
        <v>731</v>
      </c>
      <c r="E107" s="40" t="s">
        <v>730</v>
      </c>
      <c r="F107" s="41" t="n">
        <f aca="false">INDEX('Takeoff Detail'!$R:$R,MATCH(E107,'Takeoff Detail'!$A:$A,0))</f>
        <v>334.5694</v>
      </c>
      <c r="G107" s="42" t="str">
        <f aca="false">INDEX('Takeoff Detail'!$P:$P,MATCH(E107,'Takeoff Detail'!$A:$A,0))</f>
        <v>LF</v>
      </c>
      <c r="H107" s="40" t="s">
        <v>730</v>
      </c>
      <c r="I107" s="43" t="n">
        <f aca="false">INDEX('Cost Database'!$E:$E,MATCH(H107,'Cost Database'!$A:$A,0))</f>
        <v>0.85</v>
      </c>
      <c r="J107" s="43" t="n">
        <f aca="false">INDEX('Cost Database'!$F:$F,MATCH(H107,'Cost Database'!$A:$A,0))</f>
        <v>1.25</v>
      </c>
      <c r="K107" s="43" t="n">
        <f aca="false">INDEX('Cost Database'!$G:$G,MATCH(H107,'Cost Database'!$A:$A,0))</f>
        <v>0</v>
      </c>
      <c r="L107" s="18" t="n">
        <f aca="false">F107*I107</f>
        <v>284.38399</v>
      </c>
      <c r="M107" s="18" t="n">
        <f aca="false">F107*J107</f>
        <v>418.21175</v>
      </c>
      <c r="N107" s="18" t="n">
        <f aca="false">F107*K107</f>
        <v>0</v>
      </c>
      <c r="O107" s="18" t="n">
        <f aca="false">L107+M107+N107</f>
        <v>702.59574</v>
      </c>
      <c r="P107" s="42" t="str">
        <f aca="false">INDEX('Takeoff Detail'!$U:$U,MATCH(E107,'Takeoff Detail'!$A:$A,0))</f>
        <v>Calculated</v>
      </c>
      <c r="Q107" s="42" t="str">
        <f aca="false">INDEX('Takeoff Detail'!$V:$V,MATCH(E107,'Takeoff Detail'!$A:$A,0))</f>
        <v>Medium</v>
      </c>
      <c r="R107" s="19" t="n">
        <f aca="false">O107/Summary!$C$4</f>
        <v>0.519671405325444</v>
      </c>
    </row>
    <row r="108" customFormat="false" ht="15" hidden="false" customHeight="false" outlineLevel="0" collapsed="false">
      <c r="A108" s="40" t="n">
        <v>107</v>
      </c>
      <c r="B108" s="40" t="s">
        <v>72</v>
      </c>
      <c r="C108" s="40" t="s">
        <v>73</v>
      </c>
      <c r="D108" s="38" t="s">
        <v>735</v>
      </c>
      <c r="E108" s="40" t="s">
        <v>734</v>
      </c>
      <c r="F108" s="41" t="n">
        <f aca="false">INDEX('Takeoff Detail'!$R:$R,MATCH(E108,'Takeoff Detail'!$A:$A,0))</f>
        <v>126.5</v>
      </c>
      <c r="G108" s="42" t="str">
        <f aca="false">INDEX('Takeoff Detail'!$P:$P,MATCH(E108,'Takeoff Detail'!$A:$A,0))</f>
        <v>LF</v>
      </c>
      <c r="H108" s="40" t="s">
        <v>734</v>
      </c>
      <c r="I108" s="43" t="n">
        <f aca="false">INDEX('Cost Database'!$E:$E,MATCH(H108,'Cost Database'!$A:$A,0))</f>
        <v>1.6</v>
      </c>
      <c r="J108" s="43" t="n">
        <f aca="false">INDEX('Cost Database'!$F:$F,MATCH(H108,'Cost Database'!$A:$A,0))</f>
        <v>2.5</v>
      </c>
      <c r="K108" s="43" t="n">
        <f aca="false">INDEX('Cost Database'!$G:$G,MATCH(H108,'Cost Database'!$A:$A,0))</f>
        <v>0</v>
      </c>
      <c r="L108" s="18" t="n">
        <f aca="false">F108*I108</f>
        <v>202.4</v>
      </c>
      <c r="M108" s="18" t="n">
        <f aca="false">F108*J108</f>
        <v>316.25</v>
      </c>
      <c r="N108" s="18" t="n">
        <f aca="false">F108*K108</f>
        <v>0</v>
      </c>
      <c r="O108" s="18" t="n">
        <f aca="false">L108+M108+N108</f>
        <v>518.65</v>
      </c>
      <c r="P108" s="42" t="str">
        <f aca="false">INDEX('Takeoff Detail'!$U:$U,MATCH(E108,'Takeoff Detail'!$A:$A,0))</f>
        <v>Assumed</v>
      </c>
      <c r="Q108" s="42" t="str">
        <f aca="false">INDEX('Takeoff Detail'!$V:$V,MATCH(E108,'Takeoff Detail'!$A:$A,0))</f>
        <v>Medium</v>
      </c>
      <c r="R108" s="19" t="n">
        <f aca="false">O108/Summary!$C$4</f>
        <v>0.383616863905326</v>
      </c>
    </row>
    <row r="109" customFormat="false" ht="15" hidden="false" customHeight="false" outlineLevel="0" collapsed="false">
      <c r="A109" s="40" t="n">
        <v>108</v>
      </c>
      <c r="B109" s="40" t="s">
        <v>72</v>
      </c>
      <c r="C109" s="40" t="s">
        <v>73</v>
      </c>
      <c r="D109" s="38" t="s">
        <v>739</v>
      </c>
      <c r="E109" s="40" t="s">
        <v>738</v>
      </c>
      <c r="F109" s="41" t="n">
        <f aca="false">INDEX('Takeoff Detail'!$R:$R,MATCH(E109,'Takeoff Detail'!$A:$A,0))</f>
        <v>4361.202</v>
      </c>
      <c r="G109" s="42" t="str">
        <f aca="false">INDEX('Takeoff Detail'!$P:$P,MATCH(E109,'Takeoff Detail'!$A:$A,0))</f>
        <v>SF</v>
      </c>
      <c r="H109" s="40" t="s">
        <v>738</v>
      </c>
      <c r="I109" s="43" t="n">
        <f aca="false">INDEX('Cost Database'!$E:$E,MATCH(H109,'Cost Database'!$A:$A,0))</f>
        <v>0.28</v>
      </c>
      <c r="J109" s="43" t="n">
        <f aca="false">INDEX('Cost Database'!$F:$F,MATCH(H109,'Cost Database'!$A:$A,0))</f>
        <v>1.02</v>
      </c>
      <c r="K109" s="43" t="n">
        <f aca="false">INDEX('Cost Database'!$G:$G,MATCH(H109,'Cost Database'!$A:$A,0))</f>
        <v>0</v>
      </c>
      <c r="L109" s="18" t="n">
        <f aca="false">F109*I109</f>
        <v>1221.13656</v>
      </c>
      <c r="M109" s="18" t="n">
        <f aca="false">F109*J109</f>
        <v>4448.42604</v>
      </c>
      <c r="N109" s="18" t="n">
        <f aca="false">F109*K109</f>
        <v>0</v>
      </c>
      <c r="O109" s="18" t="n">
        <f aca="false">L109+M109+N109</f>
        <v>5669.5626</v>
      </c>
      <c r="P109" s="42" t="str">
        <f aca="false">INDEX('Takeoff Detail'!$U:$U,MATCH(E109,'Takeoff Detail'!$A:$A,0))</f>
        <v>Calculated</v>
      </c>
      <c r="Q109" s="42" t="str">
        <f aca="false">INDEX('Takeoff Detail'!$V:$V,MATCH(E109,'Takeoff Detail'!$A:$A,0))</f>
        <v>High</v>
      </c>
      <c r="R109" s="19" t="n">
        <f aca="false">O109/Summary!$C$4</f>
        <v>4.19346346153846</v>
      </c>
    </row>
    <row r="110" customFormat="false" ht="15" hidden="false" customHeight="false" outlineLevel="0" collapsed="false">
      <c r="A110" s="40" t="n">
        <v>109</v>
      </c>
      <c r="B110" s="40" t="s">
        <v>72</v>
      </c>
      <c r="C110" s="40" t="s">
        <v>73</v>
      </c>
      <c r="D110" s="38" t="s">
        <v>743</v>
      </c>
      <c r="E110" s="40" t="s">
        <v>742</v>
      </c>
      <c r="F110" s="41" t="n">
        <f aca="false">INDEX('Takeoff Detail'!$R:$R,MATCH(E110,'Takeoff Detail'!$A:$A,0))</f>
        <v>10</v>
      </c>
      <c r="G110" s="42" t="str">
        <f aca="false">INDEX('Takeoff Detail'!$P:$P,MATCH(E110,'Takeoff Detail'!$A:$A,0))</f>
        <v>EA</v>
      </c>
      <c r="H110" s="40" t="s">
        <v>742</v>
      </c>
      <c r="I110" s="43" t="n">
        <f aca="false">INDEX('Cost Database'!$E:$E,MATCH(H110,'Cost Database'!$A:$A,0))</f>
        <v>18</v>
      </c>
      <c r="J110" s="43" t="n">
        <f aca="false">INDEX('Cost Database'!$F:$F,MATCH(H110,'Cost Database'!$A:$A,0))</f>
        <v>65</v>
      </c>
      <c r="K110" s="43" t="n">
        <f aca="false">INDEX('Cost Database'!$G:$G,MATCH(H110,'Cost Database'!$A:$A,0))</f>
        <v>0</v>
      </c>
      <c r="L110" s="18" t="n">
        <f aca="false">F110*I110</f>
        <v>180</v>
      </c>
      <c r="M110" s="18" t="n">
        <f aca="false">F110*J110</f>
        <v>650</v>
      </c>
      <c r="N110" s="18" t="n">
        <f aca="false">F110*K110</f>
        <v>0</v>
      </c>
      <c r="O110" s="18" t="n">
        <f aca="false">L110+M110+N110</f>
        <v>830</v>
      </c>
      <c r="P110" s="42" t="str">
        <f aca="false">INDEX('Takeoff Detail'!$U:$U,MATCH(E110,'Takeoff Detail'!$A:$A,0))</f>
        <v>Calculated</v>
      </c>
      <c r="Q110" s="42" t="str">
        <f aca="false">INDEX('Takeoff Detail'!$V:$V,MATCH(E110,'Takeoff Detail'!$A:$A,0))</f>
        <v>Medium</v>
      </c>
      <c r="R110" s="19" t="n">
        <f aca="false">O110/Summary!$C$4</f>
        <v>0.613905325443787</v>
      </c>
    </row>
    <row r="111" customFormat="false" ht="15" hidden="false" customHeight="false" outlineLevel="0" collapsed="false">
      <c r="A111" s="40" t="n">
        <v>110</v>
      </c>
      <c r="B111" s="40" t="s">
        <v>72</v>
      </c>
      <c r="C111" s="40" t="s">
        <v>73</v>
      </c>
      <c r="D111" s="38" t="s">
        <v>746</v>
      </c>
      <c r="E111" s="40" t="s">
        <v>745</v>
      </c>
      <c r="F111" s="41" t="n">
        <f aca="false">INDEX('Takeoff Detail'!$R:$R,MATCH(E111,'Takeoff Detail'!$A:$A,0))</f>
        <v>771.604</v>
      </c>
      <c r="G111" s="42" t="str">
        <f aca="false">INDEX('Takeoff Detail'!$P:$P,MATCH(E111,'Takeoff Detail'!$A:$A,0))</f>
        <v>LF</v>
      </c>
      <c r="H111" s="40" t="s">
        <v>745</v>
      </c>
      <c r="I111" s="43" t="n">
        <f aca="false">INDEX('Cost Database'!$E:$E,MATCH(H111,'Cost Database'!$A:$A,0))</f>
        <v>0.1</v>
      </c>
      <c r="J111" s="43" t="n">
        <f aca="false">INDEX('Cost Database'!$F:$F,MATCH(H111,'Cost Database'!$A:$A,0))</f>
        <v>0.75</v>
      </c>
      <c r="K111" s="43" t="n">
        <f aca="false">INDEX('Cost Database'!$G:$G,MATCH(H111,'Cost Database'!$A:$A,0))</f>
        <v>0</v>
      </c>
      <c r="L111" s="18" t="n">
        <f aca="false">F111*I111</f>
        <v>77.1604</v>
      </c>
      <c r="M111" s="18" t="n">
        <f aca="false">F111*J111</f>
        <v>578.703</v>
      </c>
      <c r="N111" s="18" t="n">
        <f aca="false">F111*K111</f>
        <v>0</v>
      </c>
      <c r="O111" s="18" t="n">
        <f aca="false">L111+M111+N111</f>
        <v>655.8634</v>
      </c>
      <c r="P111" s="42" t="str">
        <f aca="false">INDEX('Takeoff Detail'!$U:$U,MATCH(E111,'Takeoff Detail'!$A:$A,0))</f>
        <v>Calculated</v>
      </c>
      <c r="Q111" s="42" t="str">
        <f aca="false">INDEX('Takeoff Detail'!$V:$V,MATCH(E111,'Takeoff Detail'!$A:$A,0))</f>
        <v>High</v>
      </c>
      <c r="R111" s="19" t="n">
        <f aca="false">O111/Summary!$C$4</f>
        <v>0.485106065088757</v>
      </c>
    </row>
    <row r="112" customFormat="false" ht="15" hidden="false" customHeight="false" outlineLevel="0" collapsed="false">
      <c r="A112" s="40" t="n">
        <v>111</v>
      </c>
      <c r="B112" s="40" t="s">
        <v>72</v>
      </c>
      <c r="C112" s="40" t="s">
        <v>73</v>
      </c>
      <c r="D112" s="38" t="s">
        <v>750</v>
      </c>
      <c r="E112" s="40" t="s">
        <v>749</v>
      </c>
      <c r="F112" s="41" t="n">
        <f aca="false">INDEX('Takeoff Detail'!$R:$R,MATCH(E112,'Takeoff Detail'!$A:$A,0))</f>
        <v>2509.24285343212</v>
      </c>
      <c r="G112" s="42" t="str">
        <f aca="false">INDEX('Takeoff Detail'!$P:$P,MATCH(E112,'Takeoff Detail'!$A:$A,0))</f>
        <v>SF</v>
      </c>
      <c r="H112" s="40" t="s">
        <v>749</v>
      </c>
      <c r="I112" s="43" t="n">
        <f aca="false">INDEX('Cost Database'!$E:$E,MATCH(H112,'Cost Database'!$A:$A,0))</f>
        <v>0.32</v>
      </c>
      <c r="J112" s="43" t="n">
        <f aca="false">INDEX('Cost Database'!$F:$F,MATCH(H112,'Cost Database'!$A:$A,0))</f>
        <v>0.95</v>
      </c>
      <c r="K112" s="43" t="n">
        <f aca="false">INDEX('Cost Database'!$G:$G,MATCH(H112,'Cost Database'!$A:$A,0))</f>
        <v>0</v>
      </c>
      <c r="L112" s="18" t="n">
        <f aca="false">F112*I112</f>
        <v>802.957713098279</v>
      </c>
      <c r="M112" s="18" t="n">
        <f aca="false">F112*J112</f>
        <v>2383.78071076052</v>
      </c>
      <c r="N112" s="18" t="n">
        <f aca="false">F112*K112</f>
        <v>0</v>
      </c>
      <c r="O112" s="18" t="n">
        <f aca="false">L112+M112+N112</f>
        <v>3186.73842385879</v>
      </c>
      <c r="P112" s="42" t="str">
        <f aca="false">INDEX('Takeoff Detail'!$U:$U,MATCH(E112,'Takeoff Detail'!$A:$A,0))</f>
        <v>Calculated</v>
      </c>
      <c r="Q112" s="42" t="str">
        <f aca="false">INDEX('Takeoff Detail'!$V:$V,MATCH(E112,'Takeoff Detail'!$A:$A,0))</f>
        <v>Medium</v>
      </c>
      <c r="R112" s="19" t="n">
        <f aca="false">O112/Summary!$C$4</f>
        <v>2.35705504723284</v>
      </c>
    </row>
    <row r="113" customFormat="false" ht="15" hidden="false" customHeight="false" outlineLevel="0" collapsed="false">
      <c r="A113" s="40" t="n">
        <v>112</v>
      </c>
      <c r="B113" s="40" t="s">
        <v>72</v>
      </c>
      <c r="C113" s="40" t="s">
        <v>73</v>
      </c>
      <c r="D113" s="38" t="s">
        <v>754</v>
      </c>
      <c r="E113" s="40" t="s">
        <v>753</v>
      </c>
      <c r="F113" s="41" t="n">
        <f aca="false">INDEX('Takeoff Detail'!$R:$R,MATCH(E113,'Takeoff Detail'!$A:$A,0))</f>
        <v>730.27</v>
      </c>
      <c r="G113" s="42" t="str">
        <f aca="false">INDEX('Takeoff Detail'!$P:$P,MATCH(E113,'Takeoff Detail'!$A:$A,0))</f>
        <v>LF</v>
      </c>
      <c r="H113" s="40" t="s">
        <v>753</v>
      </c>
      <c r="I113" s="43" t="n">
        <f aca="false">INDEX('Cost Database'!$E:$E,MATCH(H113,'Cost Database'!$A:$A,0))</f>
        <v>0.08</v>
      </c>
      <c r="J113" s="43" t="n">
        <f aca="false">INDEX('Cost Database'!$F:$F,MATCH(H113,'Cost Database'!$A:$A,0))</f>
        <v>0.65</v>
      </c>
      <c r="K113" s="43" t="n">
        <f aca="false">INDEX('Cost Database'!$G:$G,MATCH(H113,'Cost Database'!$A:$A,0))</f>
        <v>0</v>
      </c>
      <c r="L113" s="18" t="n">
        <f aca="false">F113*I113</f>
        <v>58.4216</v>
      </c>
      <c r="M113" s="18" t="n">
        <f aca="false">F113*J113</f>
        <v>474.6755</v>
      </c>
      <c r="N113" s="18" t="n">
        <f aca="false">F113*K113</f>
        <v>0</v>
      </c>
      <c r="O113" s="18" t="n">
        <f aca="false">L113+M113+N113</f>
        <v>533.0971</v>
      </c>
      <c r="P113" s="42" t="str">
        <f aca="false">INDEX('Takeoff Detail'!$U:$U,MATCH(E113,'Takeoff Detail'!$A:$A,0))</f>
        <v>Calculated</v>
      </c>
      <c r="Q113" s="42" t="str">
        <f aca="false">INDEX('Takeoff Detail'!$V:$V,MATCH(E113,'Takeoff Detail'!$A:$A,0))</f>
        <v>High</v>
      </c>
      <c r="R113" s="19" t="n">
        <f aca="false">O113/Summary!$C$4</f>
        <v>0.394302588757396</v>
      </c>
    </row>
    <row r="114" customFormat="false" ht="15" hidden="false" customHeight="false" outlineLevel="0" collapsed="false">
      <c r="A114" s="40" t="n">
        <v>113</v>
      </c>
      <c r="B114" s="40" t="s">
        <v>72</v>
      </c>
      <c r="C114" s="40" t="s">
        <v>73</v>
      </c>
      <c r="D114" s="38" t="s">
        <v>757</v>
      </c>
      <c r="E114" s="40" t="s">
        <v>756</v>
      </c>
      <c r="F114" s="41" t="n">
        <f aca="false">INDEX('Takeoff Detail'!$R:$R,MATCH(E114,'Takeoff Detail'!$A:$A,0))</f>
        <v>3</v>
      </c>
      <c r="G114" s="42" t="str">
        <f aca="false">INDEX('Takeoff Detail'!$P:$P,MATCH(E114,'Takeoff Detail'!$A:$A,0))</f>
        <v>EA</v>
      </c>
      <c r="H114" s="40" t="s">
        <v>756</v>
      </c>
      <c r="I114" s="43" t="n">
        <f aca="false">INDEX('Cost Database'!$E:$E,MATCH(H114,'Cost Database'!$A:$A,0))</f>
        <v>25</v>
      </c>
      <c r="J114" s="43" t="n">
        <f aca="false">INDEX('Cost Database'!$F:$F,MATCH(H114,'Cost Database'!$A:$A,0))</f>
        <v>85</v>
      </c>
      <c r="K114" s="43" t="n">
        <f aca="false">INDEX('Cost Database'!$G:$G,MATCH(H114,'Cost Database'!$A:$A,0))</f>
        <v>0</v>
      </c>
      <c r="L114" s="18" t="n">
        <f aca="false">F114*I114</f>
        <v>75</v>
      </c>
      <c r="M114" s="18" t="n">
        <f aca="false">F114*J114</f>
        <v>255</v>
      </c>
      <c r="N114" s="18" t="n">
        <f aca="false">F114*K114</f>
        <v>0</v>
      </c>
      <c r="O114" s="18" t="n">
        <f aca="false">L114+M114+N114</f>
        <v>330</v>
      </c>
      <c r="P114" s="42" t="str">
        <f aca="false">INDEX('Takeoff Detail'!$U:$U,MATCH(E114,'Takeoff Detail'!$A:$A,0))</f>
        <v>Measured</v>
      </c>
      <c r="Q114" s="42" t="str">
        <f aca="false">INDEX('Takeoff Detail'!$V:$V,MATCH(E114,'Takeoff Detail'!$A:$A,0))</f>
        <v>High</v>
      </c>
      <c r="R114" s="19" t="n">
        <f aca="false">O114/Summary!$C$4</f>
        <v>0.244082840236686</v>
      </c>
    </row>
    <row r="115" customFormat="false" ht="15" hidden="false" customHeight="false" outlineLevel="0" collapsed="false">
      <c r="A115" s="40" t="n">
        <v>114</v>
      </c>
      <c r="B115" s="40" t="s">
        <v>72</v>
      </c>
      <c r="C115" s="40" t="s">
        <v>73</v>
      </c>
      <c r="D115" s="38" t="s">
        <v>760</v>
      </c>
      <c r="E115" s="40" t="s">
        <v>759</v>
      </c>
      <c r="F115" s="41" t="n">
        <f aca="false">INDEX('Takeoff Detail'!$R:$R,MATCH(E115,'Takeoff Detail'!$A:$A,0))</f>
        <v>1</v>
      </c>
      <c r="G115" s="42" t="str">
        <f aca="false">INDEX('Takeoff Detail'!$P:$P,MATCH(E115,'Takeoff Detail'!$A:$A,0))</f>
        <v>LS</v>
      </c>
      <c r="H115" s="40" t="s">
        <v>759</v>
      </c>
      <c r="I115" s="43" t="n">
        <f aca="false">INDEX('Cost Database'!$E:$E,MATCH(H115,'Cost Database'!$A:$A,0))</f>
        <v>150</v>
      </c>
      <c r="J115" s="43" t="n">
        <f aca="false">INDEX('Cost Database'!$F:$F,MATCH(H115,'Cost Database'!$A:$A,0))</f>
        <v>250</v>
      </c>
      <c r="K115" s="43" t="n">
        <f aca="false">INDEX('Cost Database'!$G:$G,MATCH(H115,'Cost Database'!$A:$A,0))</f>
        <v>0</v>
      </c>
      <c r="L115" s="18" t="n">
        <f aca="false">F115*I115</f>
        <v>150</v>
      </c>
      <c r="M115" s="18" t="n">
        <f aca="false">F115*J115</f>
        <v>250</v>
      </c>
      <c r="N115" s="18" t="n">
        <f aca="false">F115*K115</f>
        <v>0</v>
      </c>
      <c r="O115" s="18" t="n">
        <f aca="false">L115+M115+N115</f>
        <v>400</v>
      </c>
      <c r="P115" s="42" t="str">
        <f aca="false">INDEX('Takeoff Detail'!$U:$U,MATCH(E115,'Takeoff Detail'!$A:$A,0))</f>
        <v>Allowance</v>
      </c>
      <c r="Q115" s="42" t="str">
        <f aca="false">INDEX('Takeoff Detail'!$V:$V,MATCH(E115,'Takeoff Detail'!$A:$A,0))</f>
        <v>Medium</v>
      </c>
      <c r="R115" s="19" t="n">
        <f aca="false">O115/Summary!$C$4</f>
        <v>0.295857988165681</v>
      </c>
    </row>
    <row r="116" customFormat="false" ht="15" hidden="false" customHeight="false" outlineLevel="0" collapsed="false">
      <c r="A116" s="40" t="n">
        <v>115</v>
      </c>
      <c r="B116" s="40" t="s">
        <v>74</v>
      </c>
      <c r="C116" s="40" t="s">
        <v>75</v>
      </c>
      <c r="D116" s="38" t="s">
        <v>762</v>
      </c>
      <c r="E116" s="40" t="s">
        <v>761</v>
      </c>
      <c r="F116" s="41" t="n">
        <f aca="false">INDEX('Takeoff Detail'!$R:$R,MATCH(E116,'Takeoff Detail'!$A:$A,0))</f>
        <v>2</v>
      </c>
      <c r="G116" s="42" t="str">
        <f aca="false">INDEX('Takeoff Detail'!$P:$P,MATCH(E116,'Takeoff Detail'!$A:$A,0))</f>
        <v>SET</v>
      </c>
      <c r="H116" s="40" t="s">
        <v>761</v>
      </c>
      <c r="I116" s="43" t="n">
        <f aca="false">INDEX('Cost Database'!$E:$E,MATCH(H116,'Cost Database'!$A:$A,0))</f>
        <v>140</v>
      </c>
      <c r="J116" s="43" t="n">
        <f aca="false">INDEX('Cost Database'!$F:$F,MATCH(H116,'Cost Database'!$A:$A,0))</f>
        <v>85</v>
      </c>
      <c r="K116" s="43" t="n">
        <f aca="false">INDEX('Cost Database'!$G:$G,MATCH(H116,'Cost Database'!$A:$A,0))</f>
        <v>0</v>
      </c>
      <c r="L116" s="18" t="n">
        <f aca="false">F116*I116</f>
        <v>280</v>
      </c>
      <c r="M116" s="18" t="n">
        <f aca="false">F116*J116</f>
        <v>170</v>
      </c>
      <c r="N116" s="18" t="n">
        <f aca="false">F116*K116</f>
        <v>0</v>
      </c>
      <c r="O116" s="18" t="n">
        <f aca="false">L116+M116+N116</f>
        <v>450</v>
      </c>
      <c r="P116" s="42" t="str">
        <f aca="false">INDEX('Takeoff Detail'!$U:$U,MATCH(E116,'Takeoff Detail'!$A:$A,0))</f>
        <v>Assumed</v>
      </c>
      <c r="Q116" s="42" t="str">
        <f aca="false">INDEX('Takeoff Detail'!$V:$V,MATCH(E116,'Takeoff Detail'!$A:$A,0))</f>
        <v>Medium</v>
      </c>
      <c r="R116" s="19" t="n">
        <f aca="false">O116/Summary!$C$4</f>
        <v>0.332840236686391</v>
      </c>
    </row>
    <row r="117" customFormat="false" ht="15" hidden="false" customHeight="false" outlineLevel="0" collapsed="false">
      <c r="A117" s="40" t="n">
        <v>116</v>
      </c>
      <c r="B117" s="40" t="s">
        <v>74</v>
      </c>
      <c r="C117" s="40" t="s">
        <v>75</v>
      </c>
      <c r="D117" s="38" t="s">
        <v>766</v>
      </c>
      <c r="E117" s="40" t="s">
        <v>765</v>
      </c>
      <c r="F117" s="41" t="n">
        <f aca="false">INDEX('Takeoff Detail'!$R:$R,MATCH(E117,'Takeoff Detail'!$A:$A,0))</f>
        <v>2</v>
      </c>
      <c r="G117" s="42" t="str">
        <f aca="false">INDEX('Takeoff Detail'!$P:$P,MATCH(E117,'Takeoff Detail'!$A:$A,0))</f>
        <v>EA</v>
      </c>
      <c r="H117" s="40" t="s">
        <v>765</v>
      </c>
      <c r="I117" s="43" t="n">
        <f aca="false">INDEX('Cost Database'!$E:$E,MATCH(H117,'Cost Database'!$A:$A,0))</f>
        <v>95</v>
      </c>
      <c r="J117" s="43" t="n">
        <f aca="false">INDEX('Cost Database'!$F:$F,MATCH(H117,'Cost Database'!$A:$A,0))</f>
        <v>45</v>
      </c>
      <c r="K117" s="43" t="n">
        <f aca="false">INDEX('Cost Database'!$G:$G,MATCH(H117,'Cost Database'!$A:$A,0))</f>
        <v>0</v>
      </c>
      <c r="L117" s="18" t="n">
        <f aca="false">F117*I117</f>
        <v>190</v>
      </c>
      <c r="M117" s="18" t="n">
        <f aca="false">F117*J117</f>
        <v>90</v>
      </c>
      <c r="N117" s="18" t="n">
        <f aca="false">F117*K117</f>
        <v>0</v>
      </c>
      <c r="O117" s="18" t="n">
        <f aca="false">L117+M117+N117</f>
        <v>280</v>
      </c>
      <c r="P117" s="42" t="str">
        <f aca="false">INDEX('Takeoff Detail'!$U:$U,MATCH(E117,'Takeoff Detail'!$A:$A,0))</f>
        <v>Measured</v>
      </c>
      <c r="Q117" s="42" t="str">
        <f aca="false">INDEX('Takeoff Detail'!$V:$V,MATCH(E117,'Takeoff Detail'!$A:$A,0))</f>
        <v>High</v>
      </c>
      <c r="R117" s="19" t="n">
        <f aca="false">O117/Summary!$C$4</f>
        <v>0.207100591715976</v>
      </c>
    </row>
    <row r="118" customFormat="false" ht="15" hidden="false" customHeight="false" outlineLevel="0" collapsed="false">
      <c r="A118" s="40" t="n">
        <v>117</v>
      </c>
      <c r="B118" s="40" t="s">
        <v>74</v>
      </c>
      <c r="C118" s="40" t="s">
        <v>75</v>
      </c>
      <c r="D118" s="38" t="s">
        <v>769</v>
      </c>
      <c r="E118" s="40" t="s">
        <v>768</v>
      </c>
      <c r="F118" s="41" t="n">
        <f aca="false">INDEX('Takeoff Detail'!$R:$R,MATCH(E118,'Takeoff Detail'!$A:$A,0))</f>
        <v>32</v>
      </c>
      <c r="G118" s="42" t="str">
        <f aca="false">INDEX('Takeoff Detail'!$P:$P,MATCH(E118,'Takeoff Detail'!$A:$A,0))</f>
        <v>LF</v>
      </c>
      <c r="H118" s="40" t="s">
        <v>768</v>
      </c>
      <c r="I118" s="43" t="n">
        <f aca="false">INDEX('Cost Database'!$E:$E,MATCH(H118,'Cost Database'!$A:$A,0))</f>
        <v>9</v>
      </c>
      <c r="J118" s="43" t="n">
        <f aca="false">INDEX('Cost Database'!$F:$F,MATCH(H118,'Cost Database'!$A:$A,0))</f>
        <v>7</v>
      </c>
      <c r="K118" s="43" t="n">
        <f aca="false">INDEX('Cost Database'!$G:$G,MATCH(H118,'Cost Database'!$A:$A,0))</f>
        <v>0</v>
      </c>
      <c r="L118" s="18" t="n">
        <f aca="false">F118*I118</f>
        <v>288</v>
      </c>
      <c r="M118" s="18" t="n">
        <f aca="false">F118*J118</f>
        <v>224</v>
      </c>
      <c r="N118" s="18" t="n">
        <f aca="false">F118*K118</f>
        <v>0</v>
      </c>
      <c r="O118" s="18" t="n">
        <f aca="false">L118+M118+N118</f>
        <v>512</v>
      </c>
      <c r="P118" s="42" t="str">
        <f aca="false">INDEX('Takeoff Detail'!$U:$U,MATCH(E118,'Takeoff Detail'!$A:$A,0))</f>
        <v>Measured</v>
      </c>
      <c r="Q118" s="42" t="str">
        <f aca="false">INDEX('Takeoff Detail'!$V:$V,MATCH(E118,'Takeoff Detail'!$A:$A,0))</f>
        <v>Medium</v>
      </c>
      <c r="R118" s="19" t="n">
        <f aca="false">O118/Summary!$C$4</f>
        <v>0.378698224852071</v>
      </c>
    </row>
    <row r="119" customFormat="false" ht="15" hidden="false" customHeight="false" outlineLevel="0" collapsed="false">
      <c r="A119" s="40" t="n">
        <v>118</v>
      </c>
      <c r="B119" s="40" t="s">
        <v>74</v>
      </c>
      <c r="C119" s="40" t="s">
        <v>75</v>
      </c>
      <c r="D119" s="38" t="s">
        <v>774</v>
      </c>
      <c r="E119" s="40" t="s">
        <v>773</v>
      </c>
      <c r="F119" s="41" t="n">
        <f aca="false">INDEX('Takeoff Detail'!$R:$R,MATCH(E119,'Takeoff Detail'!$A:$A,0))</f>
        <v>2</v>
      </c>
      <c r="G119" s="42" t="str">
        <f aca="false">INDEX('Takeoff Detail'!$P:$P,MATCH(E119,'Takeoff Detail'!$A:$A,0))</f>
        <v>EA</v>
      </c>
      <c r="H119" s="40" t="s">
        <v>773</v>
      </c>
      <c r="I119" s="43" t="n">
        <f aca="false">INDEX('Cost Database'!$E:$E,MATCH(H119,'Cost Database'!$A:$A,0))</f>
        <v>30</v>
      </c>
      <c r="J119" s="43" t="n">
        <f aca="false">INDEX('Cost Database'!$F:$F,MATCH(H119,'Cost Database'!$A:$A,0))</f>
        <v>20</v>
      </c>
      <c r="K119" s="43" t="n">
        <f aca="false">INDEX('Cost Database'!$G:$G,MATCH(H119,'Cost Database'!$A:$A,0))</f>
        <v>0</v>
      </c>
      <c r="L119" s="18" t="n">
        <f aca="false">F119*I119</f>
        <v>60</v>
      </c>
      <c r="M119" s="18" t="n">
        <f aca="false">F119*J119</f>
        <v>40</v>
      </c>
      <c r="N119" s="18" t="n">
        <f aca="false">F119*K119</f>
        <v>0</v>
      </c>
      <c r="O119" s="18" t="n">
        <f aca="false">L119+M119+N119</f>
        <v>100</v>
      </c>
      <c r="P119" s="42" t="str">
        <f aca="false">INDEX('Takeoff Detail'!$U:$U,MATCH(E119,'Takeoff Detail'!$A:$A,0))</f>
        <v>Assumed</v>
      </c>
      <c r="Q119" s="42" t="str">
        <f aca="false">INDEX('Takeoff Detail'!$V:$V,MATCH(E119,'Takeoff Detail'!$A:$A,0))</f>
        <v>Medium</v>
      </c>
      <c r="R119" s="19" t="n">
        <f aca="false">O119/Summary!$C$4</f>
        <v>0.0739644970414201</v>
      </c>
    </row>
    <row r="120" customFormat="false" ht="15" hidden="false" customHeight="false" outlineLevel="0" collapsed="false">
      <c r="A120" s="40" t="n">
        <v>119</v>
      </c>
      <c r="B120" s="40" t="s">
        <v>74</v>
      </c>
      <c r="C120" s="40" t="s">
        <v>75</v>
      </c>
      <c r="D120" s="38" t="s">
        <v>776</v>
      </c>
      <c r="E120" s="40" t="s">
        <v>775</v>
      </c>
      <c r="F120" s="41" t="n">
        <f aca="false">INDEX('Takeoff Detail'!$R:$R,MATCH(E120,'Takeoff Detail'!$A:$A,0))</f>
        <v>1</v>
      </c>
      <c r="G120" s="42" t="str">
        <f aca="false">INDEX('Takeoff Detail'!$P:$P,MATCH(E120,'Takeoff Detail'!$A:$A,0))</f>
        <v>LS</v>
      </c>
      <c r="H120" s="40" t="s">
        <v>775</v>
      </c>
      <c r="I120" s="43" t="n">
        <f aca="false">INDEX('Cost Database'!$E:$E,MATCH(H120,'Cost Database'!$A:$A,0))</f>
        <v>175</v>
      </c>
      <c r="J120" s="43" t="n">
        <f aca="false">INDEX('Cost Database'!$F:$F,MATCH(H120,'Cost Database'!$A:$A,0))</f>
        <v>75</v>
      </c>
      <c r="K120" s="43" t="n">
        <f aca="false">INDEX('Cost Database'!$G:$G,MATCH(H120,'Cost Database'!$A:$A,0))</f>
        <v>0</v>
      </c>
      <c r="L120" s="18" t="n">
        <f aca="false">F120*I120</f>
        <v>175</v>
      </c>
      <c r="M120" s="18" t="n">
        <f aca="false">F120*J120</f>
        <v>75</v>
      </c>
      <c r="N120" s="18" t="n">
        <f aca="false">F120*K120</f>
        <v>0</v>
      </c>
      <c r="O120" s="18" t="n">
        <f aca="false">L120+M120+N120</f>
        <v>250</v>
      </c>
      <c r="P120" s="42" t="str">
        <f aca="false">INDEX('Takeoff Detail'!$U:$U,MATCH(E120,'Takeoff Detail'!$A:$A,0))</f>
        <v>Allowance</v>
      </c>
      <c r="Q120" s="42" t="str">
        <f aca="false">INDEX('Takeoff Detail'!$V:$V,MATCH(E120,'Takeoff Detail'!$A:$A,0))</f>
        <v>Medium</v>
      </c>
      <c r="R120" s="19" t="n">
        <f aca="false">O120/Summary!$C$4</f>
        <v>0.18491124260355</v>
      </c>
    </row>
    <row r="121" customFormat="false" ht="28.35" hidden="false" customHeight="false" outlineLevel="0" collapsed="false">
      <c r="A121" s="40" t="n">
        <v>120</v>
      </c>
      <c r="B121" s="40" t="s">
        <v>76</v>
      </c>
      <c r="C121" s="40" t="s">
        <v>77</v>
      </c>
      <c r="D121" s="38" t="s">
        <v>778</v>
      </c>
      <c r="E121" s="40" t="s">
        <v>777</v>
      </c>
      <c r="F121" s="41" t="n">
        <f aca="false">INDEX('Takeoff Detail'!$R:$R,MATCH(E121,'Takeoff Detail'!$A:$A,0))</f>
        <v>1</v>
      </c>
      <c r="G121" s="42" t="str">
        <f aca="false">INDEX('Takeoff Detail'!$P:$P,MATCH(E121,'Takeoff Detail'!$A:$A,0))</f>
        <v>LS</v>
      </c>
      <c r="H121" s="40" t="s">
        <v>777</v>
      </c>
      <c r="I121" s="43" t="n">
        <f aca="false">INDEX('Cost Database'!$E:$E,MATCH(H121,'Cost Database'!$A:$A,0))</f>
        <v>0</v>
      </c>
      <c r="J121" s="43" t="n">
        <f aca="false">INDEX('Cost Database'!$F:$F,MATCH(H121,'Cost Database'!$A:$A,0))</f>
        <v>0</v>
      </c>
      <c r="K121" s="43" t="n">
        <f aca="false">INDEX('Cost Database'!$G:$G,MATCH(H121,'Cost Database'!$A:$A,0))</f>
        <v>0</v>
      </c>
      <c r="L121" s="18" t="n">
        <f aca="false">F121*I121</f>
        <v>0</v>
      </c>
      <c r="M121" s="18" t="n">
        <f aca="false">F121*J121</f>
        <v>0</v>
      </c>
      <c r="N121" s="18" t="n">
        <f aca="false">F121*K121</f>
        <v>0</v>
      </c>
      <c r="O121" s="18" t="n">
        <f aca="false">L121+M121+N121</f>
        <v>0</v>
      </c>
      <c r="P121" s="42" t="str">
        <f aca="false">INDEX('Takeoff Detail'!$U:$U,MATCH(E121,'Takeoff Detail'!$A:$A,0))</f>
        <v>Allowance</v>
      </c>
      <c r="Q121" s="42" t="str">
        <f aca="false">INDEX('Takeoff Detail'!$V:$V,MATCH(E121,'Takeoff Detail'!$A:$A,0))</f>
        <v>High</v>
      </c>
      <c r="R121" s="19" t="n">
        <f aca="false">O121/Summary!$C$4</f>
        <v>0</v>
      </c>
    </row>
    <row r="122" customFormat="false" ht="28.35" hidden="false" customHeight="false" outlineLevel="0" collapsed="false">
      <c r="A122" s="40" t="n">
        <v>121</v>
      </c>
      <c r="B122" s="40" t="s">
        <v>76</v>
      </c>
      <c r="C122" s="40" t="s">
        <v>77</v>
      </c>
      <c r="D122" s="38" t="s">
        <v>783</v>
      </c>
      <c r="E122" s="40" t="s">
        <v>782</v>
      </c>
      <c r="F122" s="41" t="n">
        <f aca="false">INDEX('Takeoff Detail'!$R:$R,MATCH(E122,'Takeoff Detail'!$A:$A,0))</f>
        <v>1</v>
      </c>
      <c r="G122" s="42" t="str">
        <f aca="false">INDEX('Takeoff Detail'!$P:$P,MATCH(E122,'Takeoff Detail'!$A:$A,0))</f>
        <v>LS</v>
      </c>
      <c r="H122" s="40" t="s">
        <v>782</v>
      </c>
      <c r="I122" s="43" t="n">
        <f aca="false">INDEX('Cost Database'!$E:$E,MATCH(H122,'Cost Database'!$A:$A,0))</f>
        <v>85</v>
      </c>
      <c r="J122" s="43" t="n">
        <f aca="false">INDEX('Cost Database'!$F:$F,MATCH(H122,'Cost Database'!$A:$A,0))</f>
        <v>350</v>
      </c>
      <c r="K122" s="43" t="n">
        <f aca="false">INDEX('Cost Database'!$G:$G,MATCH(H122,'Cost Database'!$A:$A,0))</f>
        <v>0</v>
      </c>
      <c r="L122" s="18" t="n">
        <f aca="false">F122*I122</f>
        <v>85</v>
      </c>
      <c r="M122" s="18" t="n">
        <f aca="false">F122*J122</f>
        <v>350</v>
      </c>
      <c r="N122" s="18" t="n">
        <f aca="false">F122*K122</f>
        <v>0</v>
      </c>
      <c r="O122" s="18" t="n">
        <f aca="false">L122+M122+N122</f>
        <v>435</v>
      </c>
      <c r="P122" s="42" t="str">
        <f aca="false">INDEX('Takeoff Detail'!$U:$U,MATCH(E122,'Takeoff Detail'!$A:$A,0))</f>
        <v>Allowance</v>
      </c>
      <c r="Q122" s="42" t="str">
        <f aca="false">INDEX('Takeoff Detail'!$V:$V,MATCH(E122,'Takeoff Detail'!$A:$A,0))</f>
        <v>Medium</v>
      </c>
      <c r="R122" s="19" t="n">
        <f aca="false">O122/Summary!$C$4</f>
        <v>0.321745562130178</v>
      </c>
    </row>
    <row r="123" customFormat="false" ht="15" hidden="false" customHeight="false" outlineLevel="0" collapsed="false">
      <c r="A123" s="40" t="n">
        <v>122</v>
      </c>
      <c r="B123" s="40" t="s">
        <v>78</v>
      </c>
      <c r="C123" s="40" t="s">
        <v>79</v>
      </c>
      <c r="D123" s="38" t="s">
        <v>785</v>
      </c>
      <c r="E123" s="40" t="s">
        <v>784</v>
      </c>
      <c r="F123" s="41" t="n">
        <f aca="false">INDEX('Takeoff Detail'!$R:$R,MATCH(E123,'Takeoff Detail'!$A:$A,0))</f>
        <v>11.7</v>
      </c>
      <c r="G123" s="42" t="str">
        <f aca="false">INDEX('Takeoff Detail'!$P:$P,MATCH(E123,'Takeoff Detail'!$A:$A,0))</f>
        <v>LF</v>
      </c>
      <c r="H123" s="40" t="s">
        <v>784</v>
      </c>
      <c r="I123" s="43" t="n">
        <f aca="false">INDEX('Cost Database'!$E:$E,MATCH(H123,'Cost Database'!$A:$A,0))</f>
        <v>285</v>
      </c>
      <c r="J123" s="43" t="n">
        <f aca="false">INDEX('Cost Database'!$F:$F,MATCH(H123,'Cost Database'!$A:$A,0))</f>
        <v>45</v>
      </c>
      <c r="K123" s="43" t="n">
        <f aca="false">INDEX('Cost Database'!$G:$G,MATCH(H123,'Cost Database'!$A:$A,0))</f>
        <v>0</v>
      </c>
      <c r="L123" s="18" t="n">
        <f aca="false">F123*I123</f>
        <v>3334.5</v>
      </c>
      <c r="M123" s="18" t="n">
        <f aca="false">F123*J123</f>
        <v>526.5</v>
      </c>
      <c r="N123" s="18" t="n">
        <f aca="false">F123*K123</f>
        <v>0</v>
      </c>
      <c r="O123" s="18" t="n">
        <f aca="false">L123+M123+N123</f>
        <v>3861</v>
      </c>
      <c r="P123" s="42" t="str">
        <f aca="false">INDEX('Takeoff Detail'!$U:$U,MATCH(E123,'Takeoff Detail'!$A:$A,0))</f>
        <v>Measured</v>
      </c>
      <c r="Q123" s="42" t="str">
        <f aca="false">INDEX('Takeoff Detail'!$V:$V,MATCH(E123,'Takeoff Detail'!$A:$A,0))</f>
        <v>Medium</v>
      </c>
      <c r="R123" s="19" t="n">
        <f aca="false">O123/Summary!$C$4</f>
        <v>2.85576923076923</v>
      </c>
    </row>
    <row r="124" customFormat="false" ht="15" hidden="false" customHeight="false" outlineLevel="0" collapsed="false">
      <c r="A124" s="40" t="n">
        <v>123</v>
      </c>
      <c r="B124" s="40" t="s">
        <v>78</v>
      </c>
      <c r="C124" s="40" t="s">
        <v>79</v>
      </c>
      <c r="D124" s="38" t="s">
        <v>790</v>
      </c>
      <c r="E124" s="40" t="s">
        <v>789</v>
      </c>
      <c r="F124" s="41" t="n">
        <f aca="false">INDEX('Takeoff Detail'!$R:$R,MATCH(E124,'Takeoff Detail'!$A:$A,0))</f>
        <v>9.4</v>
      </c>
      <c r="G124" s="42" t="str">
        <f aca="false">INDEX('Takeoff Detail'!$P:$P,MATCH(E124,'Takeoff Detail'!$A:$A,0))</f>
        <v>LF</v>
      </c>
      <c r="H124" s="40" t="s">
        <v>789</v>
      </c>
      <c r="I124" s="43" t="n">
        <f aca="false">INDEX('Cost Database'!$E:$E,MATCH(H124,'Cost Database'!$A:$A,0))</f>
        <v>215</v>
      </c>
      <c r="J124" s="43" t="n">
        <f aca="false">INDEX('Cost Database'!$F:$F,MATCH(H124,'Cost Database'!$A:$A,0))</f>
        <v>40</v>
      </c>
      <c r="K124" s="43" t="n">
        <f aca="false">INDEX('Cost Database'!$G:$G,MATCH(H124,'Cost Database'!$A:$A,0))</f>
        <v>0</v>
      </c>
      <c r="L124" s="18" t="n">
        <f aca="false">F124*I124</f>
        <v>2021</v>
      </c>
      <c r="M124" s="18" t="n">
        <f aca="false">F124*J124</f>
        <v>376</v>
      </c>
      <c r="N124" s="18" t="n">
        <f aca="false">F124*K124</f>
        <v>0</v>
      </c>
      <c r="O124" s="18" t="n">
        <f aca="false">L124+M124+N124</f>
        <v>2397</v>
      </c>
      <c r="P124" s="42" t="str">
        <f aca="false">INDEX('Takeoff Detail'!$U:$U,MATCH(E124,'Takeoff Detail'!$A:$A,0))</f>
        <v>Measured</v>
      </c>
      <c r="Q124" s="42" t="str">
        <f aca="false">INDEX('Takeoff Detail'!$V:$V,MATCH(E124,'Takeoff Detail'!$A:$A,0))</f>
        <v>Medium</v>
      </c>
      <c r="R124" s="19" t="n">
        <f aca="false">O124/Summary!$C$4</f>
        <v>1.77292899408284</v>
      </c>
    </row>
    <row r="125" customFormat="false" ht="15" hidden="false" customHeight="false" outlineLevel="0" collapsed="false">
      <c r="A125" s="40" t="n">
        <v>124</v>
      </c>
      <c r="B125" s="40" t="s">
        <v>78</v>
      </c>
      <c r="C125" s="40" t="s">
        <v>79</v>
      </c>
      <c r="D125" s="38" t="s">
        <v>794</v>
      </c>
      <c r="E125" s="40" t="s">
        <v>793</v>
      </c>
      <c r="F125" s="41" t="n">
        <f aca="false">INDEX('Takeoff Detail'!$R:$R,MATCH(E125,'Takeoff Detail'!$A:$A,0))</f>
        <v>1</v>
      </c>
      <c r="G125" s="42" t="str">
        <f aca="false">INDEX('Takeoff Detail'!$P:$P,MATCH(E125,'Takeoff Detail'!$A:$A,0))</f>
        <v>EA</v>
      </c>
      <c r="H125" s="40" t="s">
        <v>793</v>
      </c>
      <c r="I125" s="43" t="n">
        <f aca="false">INDEX('Cost Database'!$E:$E,MATCH(H125,'Cost Database'!$A:$A,0))</f>
        <v>875</v>
      </c>
      <c r="J125" s="43" t="n">
        <f aca="false">INDEX('Cost Database'!$F:$F,MATCH(H125,'Cost Database'!$A:$A,0))</f>
        <v>85</v>
      </c>
      <c r="K125" s="43" t="n">
        <f aca="false">INDEX('Cost Database'!$G:$G,MATCH(H125,'Cost Database'!$A:$A,0))</f>
        <v>0</v>
      </c>
      <c r="L125" s="18" t="n">
        <f aca="false">F125*I125</f>
        <v>875</v>
      </c>
      <c r="M125" s="18" t="n">
        <f aca="false">F125*J125</f>
        <v>85</v>
      </c>
      <c r="N125" s="18" t="n">
        <f aca="false">F125*K125</f>
        <v>0</v>
      </c>
      <c r="O125" s="18" t="n">
        <f aca="false">L125+M125+N125</f>
        <v>960</v>
      </c>
      <c r="P125" s="42" t="str">
        <f aca="false">INDEX('Takeoff Detail'!$U:$U,MATCH(E125,'Takeoff Detail'!$A:$A,0))</f>
        <v>Measured</v>
      </c>
      <c r="Q125" s="42" t="str">
        <f aca="false">INDEX('Takeoff Detail'!$V:$V,MATCH(E125,'Takeoff Detail'!$A:$A,0))</f>
        <v>Low</v>
      </c>
      <c r="R125" s="19" t="n">
        <f aca="false">O125/Summary!$C$4</f>
        <v>0.710059171597633</v>
      </c>
    </row>
    <row r="126" customFormat="false" ht="15" hidden="false" customHeight="false" outlineLevel="0" collapsed="false">
      <c r="A126" s="40" t="n">
        <v>125</v>
      </c>
      <c r="B126" s="40" t="s">
        <v>78</v>
      </c>
      <c r="C126" s="40" t="s">
        <v>79</v>
      </c>
      <c r="D126" s="38" t="s">
        <v>797</v>
      </c>
      <c r="E126" s="40" t="s">
        <v>796</v>
      </c>
      <c r="F126" s="41" t="n">
        <f aca="false">INDEX('Takeoff Detail'!$R:$R,MATCH(E126,'Takeoff Detail'!$A:$A,0))</f>
        <v>1</v>
      </c>
      <c r="G126" s="42" t="str">
        <f aca="false">INDEX('Takeoff Detail'!$P:$P,MATCH(E126,'Takeoff Detail'!$A:$A,0))</f>
        <v>LS</v>
      </c>
      <c r="H126" s="40" t="s">
        <v>796</v>
      </c>
      <c r="I126" s="43" t="n">
        <f aca="false">INDEX('Cost Database'!$E:$E,MATCH(H126,'Cost Database'!$A:$A,0))</f>
        <v>350</v>
      </c>
      <c r="J126" s="43" t="n">
        <f aca="false">INDEX('Cost Database'!$F:$F,MATCH(H126,'Cost Database'!$A:$A,0))</f>
        <v>100</v>
      </c>
      <c r="K126" s="43" t="n">
        <f aca="false">INDEX('Cost Database'!$G:$G,MATCH(H126,'Cost Database'!$A:$A,0))</f>
        <v>0</v>
      </c>
      <c r="L126" s="18" t="n">
        <f aca="false">F126*I126</f>
        <v>350</v>
      </c>
      <c r="M126" s="18" t="n">
        <f aca="false">F126*J126</f>
        <v>100</v>
      </c>
      <c r="N126" s="18" t="n">
        <f aca="false">F126*K126</f>
        <v>0</v>
      </c>
      <c r="O126" s="18" t="n">
        <f aca="false">L126+M126+N126</f>
        <v>450</v>
      </c>
      <c r="P126" s="42" t="str">
        <f aca="false">INDEX('Takeoff Detail'!$U:$U,MATCH(E126,'Takeoff Detail'!$A:$A,0))</f>
        <v>Allowance</v>
      </c>
      <c r="Q126" s="42" t="str">
        <f aca="false">INDEX('Takeoff Detail'!$V:$V,MATCH(E126,'Takeoff Detail'!$A:$A,0))</f>
        <v>Medium</v>
      </c>
      <c r="R126" s="19" t="n">
        <f aca="false">O126/Summary!$C$4</f>
        <v>0.332840236686391</v>
      </c>
    </row>
    <row r="127" customFormat="false" ht="15" hidden="false" customHeight="false" outlineLevel="0" collapsed="false">
      <c r="A127" s="40" t="n">
        <v>126</v>
      </c>
      <c r="B127" s="40" t="s">
        <v>78</v>
      </c>
      <c r="C127" s="40" t="s">
        <v>79</v>
      </c>
      <c r="D127" s="38" t="s">
        <v>799</v>
      </c>
      <c r="E127" s="40" t="s">
        <v>798</v>
      </c>
      <c r="F127" s="41" t="n">
        <f aca="false">INDEX('Takeoff Detail'!$R:$R,MATCH(E127,'Takeoff Detail'!$A:$A,0))</f>
        <v>2</v>
      </c>
      <c r="G127" s="42" t="str">
        <f aca="false">INDEX('Takeoff Detail'!$P:$P,MATCH(E127,'Takeoff Detail'!$A:$A,0))</f>
        <v>EA</v>
      </c>
      <c r="H127" s="40" t="s">
        <v>798</v>
      </c>
      <c r="I127" s="43" t="n">
        <f aca="false">INDEX('Cost Database'!$E:$E,MATCH(H127,'Cost Database'!$A:$A,0))</f>
        <v>425</v>
      </c>
      <c r="J127" s="43" t="n">
        <f aca="false">INDEX('Cost Database'!$F:$F,MATCH(H127,'Cost Database'!$A:$A,0))</f>
        <v>85</v>
      </c>
      <c r="K127" s="43" t="n">
        <f aca="false">INDEX('Cost Database'!$G:$G,MATCH(H127,'Cost Database'!$A:$A,0))</f>
        <v>0</v>
      </c>
      <c r="L127" s="18" t="n">
        <f aca="false">F127*I127</f>
        <v>850</v>
      </c>
      <c r="M127" s="18" t="n">
        <f aca="false">F127*J127</f>
        <v>170</v>
      </c>
      <c r="N127" s="18" t="n">
        <f aca="false">F127*K127</f>
        <v>0</v>
      </c>
      <c r="O127" s="18" t="n">
        <f aca="false">L127+M127+N127</f>
        <v>1020</v>
      </c>
      <c r="P127" s="42" t="str">
        <f aca="false">INDEX('Takeoff Detail'!$U:$U,MATCH(E127,'Takeoff Detail'!$A:$A,0))</f>
        <v>Measured</v>
      </c>
      <c r="Q127" s="42" t="str">
        <f aca="false">INDEX('Takeoff Detail'!$V:$V,MATCH(E127,'Takeoff Detail'!$A:$A,0))</f>
        <v>Medium</v>
      </c>
      <c r="R127" s="19" t="n">
        <f aca="false">O127/Summary!$C$4</f>
        <v>0.754437869822485</v>
      </c>
    </row>
    <row r="128" customFormat="false" ht="15" hidden="false" customHeight="false" outlineLevel="0" collapsed="false">
      <c r="A128" s="40" t="n">
        <v>127</v>
      </c>
      <c r="B128" s="40" t="s">
        <v>78</v>
      </c>
      <c r="C128" s="40" t="s">
        <v>79</v>
      </c>
      <c r="D128" s="38" t="s">
        <v>802</v>
      </c>
      <c r="E128" s="40" t="s">
        <v>801</v>
      </c>
      <c r="F128" s="41" t="n">
        <f aca="false">INDEX('Takeoff Detail'!$R:$R,MATCH(E128,'Takeoff Detail'!$A:$A,0))</f>
        <v>50.16</v>
      </c>
      <c r="G128" s="42" t="str">
        <f aca="false">INDEX('Takeoff Detail'!$P:$P,MATCH(E128,'Takeoff Detail'!$A:$A,0))</f>
        <v>SF</v>
      </c>
      <c r="H128" s="40" t="s">
        <v>801</v>
      </c>
      <c r="I128" s="43" t="n">
        <f aca="false">INDEX('Cost Database'!$E:$E,MATCH(H128,'Cost Database'!$A:$A,0))</f>
        <v>22</v>
      </c>
      <c r="J128" s="43" t="n">
        <f aca="false">INDEX('Cost Database'!$F:$F,MATCH(H128,'Cost Database'!$A:$A,0))</f>
        <v>9</v>
      </c>
      <c r="K128" s="43" t="n">
        <f aca="false">INDEX('Cost Database'!$G:$G,MATCH(H128,'Cost Database'!$A:$A,0))</f>
        <v>0</v>
      </c>
      <c r="L128" s="18" t="n">
        <f aca="false">F128*I128</f>
        <v>1103.52</v>
      </c>
      <c r="M128" s="18" t="n">
        <f aca="false">F128*J128</f>
        <v>451.44</v>
      </c>
      <c r="N128" s="18" t="n">
        <f aca="false">F128*K128</f>
        <v>0</v>
      </c>
      <c r="O128" s="18" t="n">
        <f aca="false">L128+M128+N128</f>
        <v>1554.96</v>
      </c>
      <c r="P128" s="42" t="str">
        <f aca="false">INDEX('Takeoff Detail'!$U:$U,MATCH(E128,'Takeoff Detail'!$A:$A,0))</f>
        <v>Calculated</v>
      </c>
      <c r="Q128" s="42" t="str">
        <f aca="false">INDEX('Takeoff Detail'!$V:$V,MATCH(E128,'Takeoff Detail'!$A:$A,0))</f>
        <v>Medium</v>
      </c>
      <c r="R128" s="19" t="n">
        <f aca="false">O128/Summary!$C$4</f>
        <v>1.15011834319527</v>
      </c>
    </row>
    <row r="129" customFormat="false" ht="15" hidden="false" customHeight="false" outlineLevel="0" collapsed="false">
      <c r="A129" s="40" t="n">
        <v>128</v>
      </c>
      <c r="B129" s="40" t="s">
        <v>78</v>
      </c>
      <c r="C129" s="40" t="s">
        <v>79</v>
      </c>
      <c r="D129" s="38" t="s">
        <v>807</v>
      </c>
      <c r="E129" s="40" t="s">
        <v>806</v>
      </c>
      <c r="F129" s="41" t="n">
        <f aca="false">INDEX('Takeoff Detail'!$R:$R,MATCH(E129,'Takeoff Detail'!$A:$A,0))</f>
        <v>22.52</v>
      </c>
      <c r="G129" s="42" t="str">
        <f aca="false">INDEX('Takeoff Detail'!$P:$P,MATCH(E129,'Takeoff Detail'!$A:$A,0))</f>
        <v>LF</v>
      </c>
      <c r="H129" s="40" t="s">
        <v>806</v>
      </c>
      <c r="I129" s="43" t="n">
        <f aca="false">INDEX('Cost Database'!$E:$E,MATCH(H129,'Cost Database'!$A:$A,0))</f>
        <v>6</v>
      </c>
      <c r="J129" s="43" t="n">
        <f aca="false">INDEX('Cost Database'!$F:$F,MATCH(H129,'Cost Database'!$A:$A,0))</f>
        <v>3</v>
      </c>
      <c r="K129" s="43" t="n">
        <f aca="false">INDEX('Cost Database'!$G:$G,MATCH(H129,'Cost Database'!$A:$A,0))</f>
        <v>0</v>
      </c>
      <c r="L129" s="18" t="n">
        <f aca="false">F129*I129</f>
        <v>135.12</v>
      </c>
      <c r="M129" s="18" t="n">
        <f aca="false">F129*J129</f>
        <v>67.56</v>
      </c>
      <c r="N129" s="18" t="n">
        <f aca="false">F129*K129</f>
        <v>0</v>
      </c>
      <c r="O129" s="18" t="n">
        <f aca="false">L129+M129+N129</f>
        <v>202.68</v>
      </c>
      <c r="P129" s="42" t="str">
        <f aca="false">INDEX('Takeoff Detail'!$U:$U,MATCH(E129,'Takeoff Detail'!$A:$A,0))</f>
        <v>Calculated</v>
      </c>
      <c r="Q129" s="42" t="str">
        <f aca="false">INDEX('Takeoff Detail'!$V:$V,MATCH(E129,'Takeoff Detail'!$A:$A,0))</f>
        <v>Medium</v>
      </c>
      <c r="R129" s="19" t="n">
        <f aca="false">O129/Summary!$C$4</f>
        <v>0.14991124260355</v>
      </c>
    </row>
    <row r="130" customFormat="false" ht="28.35" hidden="false" customHeight="false" outlineLevel="0" collapsed="false">
      <c r="A130" s="40" t="n">
        <v>129</v>
      </c>
      <c r="B130" s="40" t="s">
        <v>80</v>
      </c>
      <c r="C130" s="40" t="s">
        <v>81</v>
      </c>
      <c r="D130" s="38" t="s">
        <v>811</v>
      </c>
      <c r="E130" s="40" t="s">
        <v>810</v>
      </c>
      <c r="F130" s="41" t="n">
        <f aca="false">INDEX('Takeoff Detail'!$R:$R,MATCH(E130,'Takeoff Detail'!$A:$A,0))</f>
        <v>13</v>
      </c>
      <c r="G130" s="42" t="str">
        <f aca="false">INDEX('Takeoff Detail'!$P:$P,MATCH(E130,'Takeoff Detail'!$A:$A,0))</f>
        <v>EA</v>
      </c>
      <c r="H130" s="40" t="s">
        <v>810</v>
      </c>
      <c r="I130" s="43" t="n">
        <f aca="false">INDEX('Cost Database'!$E:$E,MATCH(H130,'Cost Database'!$A:$A,0))</f>
        <v>220</v>
      </c>
      <c r="J130" s="43" t="n">
        <f aca="false">INDEX('Cost Database'!$F:$F,MATCH(H130,'Cost Database'!$A:$A,0))</f>
        <v>480</v>
      </c>
      <c r="K130" s="43" t="n">
        <f aca="false">INDEX('Cost Database'!$G:$G,MATCH(H130,'Cost Database'!$A:$A,0))</f>
        <v>0</v>
      </c>
      <c r="L130" s="18" t="n">
        <f aca="false">F130*I130</f>
        <v>2860</v>
      </c>
      <c r="M130" s="18" t="n">
        <f aca="false">F130*J130</f>
        <v>6240</v>
      </c>
      <c r="N130" s="18" t="n">
        <f aca="false">F130*K130</f>
        <v>0</v>
      </c>
      <c r="O130" s="18" t="n">
        <f aca="false">L130+M130+N130</f>
        <v>9100</v>
      </c>
      <c r="P130" s="42" t="str">
        <f aca="false">INDEX('Takeoff Detail'!$U:$U,MATCH(E130,'Takeoff Detail'!$A:$A,0))</f>
        <v>Calculated</v>
      </c>
      <c r="Q130" s="42" t="str">
        <f aca="false">INDEX('Takeoff Detail'!$V:$V,MATCH(E130,'Takeoff Detail'!$A:$A,0))</f>
        <v>Medium</v>
      </c>
      <c r="R130" s="19" t="n">
        <f aca="false">O130/Summary!$C$4</f>
        <v>6.73076923076923</v>
      </c>
    </row>
    <row r="131" customFormat="false" ht="28.35" hidden="false" customHeight="false" outlineLevel="0" collapsed="false">
      <c r="A131" s="40" t="n">
        <v>130</v>
      </c>
      <c r="B131" s="40" t="s">
        <v>80</v>
      </c>
      <c r="C131" s="40" t="s">
        <v>81</v>
      </c>
      <c r="D131" s="38" t="s">
        <v>815</v>
      </c>
      <c r="E131" s="40" t="s">
        <v>814</v>
      </c>
      <c r="F131" s="41" t="n">
        <f aca="false">INDEX('Takeoff Detail'!$R:$R,MATCH(E131,'Takeoff Detail'!$A:$A,0))</f>
        <v>1</v>
      </c>
      <c r="G131" s="42" t="str">
        <f aca="false">INDEX('Takeoff Detail'!$P:$P,MATCH(E131,'Takeoff Detail'!$A:$A,0))</f>
        <v>EA</v>
      </c>
      <c r="H131" s="40" t="s">
        <v>814</v>
      </c>
      <c r="I131" s="43" t="n">
        <f aca="false">INDEX('Cost Database'!$E:$E,MATCH(H131,'Cost Database'!$A:$A,0))</f>
        <v>425</v>
      </c>
      <c r="J131" s="43" t="n">
        <f aca="false">INDEX('Cost Database'!$F:$F,MATCH(H131,'Cost Database'!$A:$A,0))</f>
        <v>0</v>
      </c>
      <c r="K131" s="43" t="n">
        <f aca="false">INDEX('Cost Database'!$G:$G,MATCH(H131,'Cost Database'!$A:$A,0))</f>
        <v>0</v>
      </c>
      <c r="L131" s="18" t="n">
        <f aca="false">F131*I131</f>
        <v>425</v>
      </c>
      <c r="M131" s="18" t="n">
        <f aca="false">F131*J131</f>
        <v>0</v>
      </c>
      <c r="N131" s="18" t="n">
        <f aca="false">F131*K131</f>
        <v>0</v>
      </c>
      <c r="O131" s="18" t="n">
        <f aca="false">L131+M131+N131</f>
        <v>425</v>
      </c>
      <c r="P131" s="42" t="str">
        <f aca="false">INDEX('Takeoff Detail'!$U:$U,MATCH(E131,'Takeoff Detail'!$A:$A,0))</f>
        <v>Measured</v>
      </c>
      <c r="Q131" s="42" t="str">
        <f aca="false">INDEX('Takeoff Detail'!$V:$V,MATCH(E131,'Takeoff Detail'!$A:$A,0))</f>
        <v>High</v>
      </c>
      <c r="R131" s="19" t="n">
        <f aca="false">O131/Summary!$C$4</f>
        <v>0.314349112426036</v>
      </c>
    </row>
    <row r="132" customFormat="false" ht="15" hidden="false" customHeight="false" outlineLevel="0" collapsed="false">
      <c r="A132" s="40" t="n">
        <v>131</v>
      </c>
      <c r="B132" s="40" t="s">
        <v>80</v>
      </c>
      <c r="C132" s="40" t="s">
        <v>81</v>
      </c>
      <c r="D132" s="38" t="s">
        <v>819</v>
      </c>
      <c r="E132" s="40" t="s">
        <v>818</v>
      </c>
      <c r="F132" s="41" t="n">
        <f aca="false">INDEX('Takeoff Detail'!$R:$R,MATCH(E132,'Takeoff Detail'!$A:$A,0))</f>
        <v>2</v>
      </c>
      <c r="G132" s="42" t="str">
        <f aca="false">INDEX('Takeoff Detail'!$P:$P,MATCH(E132,'Takeoff Detail'!$A:$A,0))</f>
        <v>EA</v>
      </c>
      <c r="H132" s="40" t="s">
        <v>818</v>
      </c>
      <c r="I132" s="43" t="n">
        <f aca="false">INDEX('Cost Database'!$E:$E,MATCH(H132,'Cost Database'!$A:$A,0))</f>
        <v>195</v>
      </c>
      <c r="J132" s="43" t="n">
        <f aca="false">INDEX('Cost Database'!$F:$F,MATCH(H132,'Cost Database'!$A:$A,0))</f>
        <v>0</v>
      </c>
      <c r="K132" s="43" t="n">
        <f aca="false">INDEX('Cost Database'!$G:$G,MATCH(H132,'Cost Database'!$A:$A,0))</f>
        <v>0</v>
      </c>
      <c r="L132" s="18" t="n">
        <f aca="false">F132*I132</f>
        <v>390</v>
      </c>
      <c r="M132" s="18" t="n">
        <f aca="false">F132*J132</f>
        <v>0</v>
      </c>
      <c r="N132" s="18" t="n">
        <f aca="false">F132*K132</f>
        <v>0</v>
      </c>
      <c r="O132" s="18" t="n">
        <f aca="false">L132+M132+N132</f>
        <v>390</v>
      </c>
      <c r="P132" s="42" t="str">
        <f aca="false">INDEX('Takeoff Detail'!$U:$U,MATCH(E132,'Takeoff Detail'!$A:$A,0))</f>
        <v>Measured</v>
      </c>
      <c r="Q132" s="42" t="str">
        <f aca="false">INDEX('Takeoff Detail'!$V:$V,MATCH(E132,'Takeoff Detail'!$A:$A,0))</f>
        <v>High</v>
      </c>
      <c r="R132" s="19" t="n">
        <f aca="false">O132/Summary!$C$4</f>
        <v>0.288461538461538</v>
      </c>
    </row>
    <row r="133" customFormat="false" ht="15" hidden="false" customHeight="false" outlineLevel="0" collapsed="false">
      <c r="A133" s="40" t="n">
        <v>132</v>
      </c>
      <c r="B133" s="40" t="s">
        <v>80</v>
      </c>
      <c r="C133" s="40" t="s">
        <v>81</v>
      </c>
      <c r="D133" s="38" t="s">
        <v>821</v>
      </c>
      <c r="E133" s="40" t="s">
        <v>820</v>
      </c>
      <c r="F133" s="41" t="n">
        <f aca="false">INDEX('Takeoff Detail'!$R:$R,MATCH(E133,'Takeoff Detail'!$A:$A,0))</f>
        <v>2</v>
      </c>
      <c r="G133" s="42" t="str">
        <f aca="false">INDEX('Takeoff Detail'!$P:$P,MATCH(E133,'Takeoff Detail'!$A:$A,0))</f>
        <v>EA</v>
      </c>
      <c r="H133" s="40" t="s">
        <v>820</v>
      </c>
      <c r="I133" s="43" t="n">
        <f aca="false">INDEX('Cost Database'!$E:$E,MATCH(H133,'Cost Database'!$A:$A,0))</f>
        <v>285</v>
      </c>
      <c r="J133" s="43" t="n">
        <f aca="false">INDEX('Cost Database'!$F:$F,MATCH(H133,'Cost Database'!$A:$A,0))</f>
        <v>0</v>
      </c>
      <c r="K133" s="43" t="n">
        <f aca="false">INDEX('Cost Database'!$G:$G,MATCH(H133,'Cost Database'!$A:$A,0))</f>
        <v>0</v>
      </c>
      <c r="L133" s="18" t="n">
        <f aca="false">F133*I133</f>
        <v>570</v>
      </c>
      <c r="M133" s="18" t="n">
        <f aca="false">F133*J133</f>
        <v>0</v>
      </c>
      <c r="N133" s="18" t="n">
        <f aca="false">F133*K133</f>
        <v>0</v>
      </c>
      <c r="O133" s="18" t="n">
        <f aca="false">L133+M133+N133</f>
        <v>570</v>
      </c>
      <c r="P133" s="42" t="str">
        <f aca="false">INDEX('Takeoff Detail'!$U:$U,MATCH(E133,'Takeoff Detail'!$A:$A,0))</f>
        <v>Measured</v>
      </c>
      <c r="Q133" s="42" t="str">
        <f aca="false">INDEX('Takeoff Detail'!$V:$V,MATCH(E133,'Takeoff Detail'!$A:$A,0))</f>
        <v>High</v>
      </c>
      <c r="R133" s="19" t="n">
        <f aca="false">O133/Summary!$C$4</f>
        <v>0.421597633136095</v>
      </c>
    </row>
    <row r="134" customFormat="false" ht="15" hidden="false" customHeight="false" outlineLevel="0" collapsed="false">
      <c r="A134" s="40" t="n">
        <v>133</v>
      </c>
      <c r="B134" s="40" t="s">
        <v>80</v>
      </c>
      <c r="C134" s="40" t="s">
        <v>81</v>
      </c>
      <c r="D134" s="38" t="s">
        <v>823</v>
      </c>
      <c r="E134" s="40" t="s">
        <v>822</v>
      </c>
      <c r="F134" s="41" t="n">
        <f aca="false">INDEX('Takeoff Detail'!$R:$R,MATCH(E134,'Takeoff Detail'!$A:$A,0))</f>
        <v>2</v>
      </c>
      <c r="G134" s="42" t="str">
        <f aca="false">INDEX('Takeoff Detail'!$P:$P,MATCH(E134,'Takeoff Detail'!$A:$A,0))</f>
        <v>EA</v>
      </c>
      <c r="H134" s="40" t="s">
        <v>822</v>
      </c>
      <c r="I134" s="43" t="n">
        <f aca="false">INDEX('Cost Database'!$E:$E,MATCH(H134,'Cost Database'!$A:$A,0))</f>
        <v>520</v>
      </c>
      <c r="J134" s="43" t="n">
        <f aca="false">INDEX('Cost Database'!$F:$F,MATCH(H134,'Cost Database'!$A:$A,0))</f>
        <v>150</v>
      </c>
      <c r="K134" s="43" t="n">
        <f aca="false">INDEX('Cost Database'!$G:$G,MATCH(H134,'Cost Database'!$A:$A,0))</f>
        <v>0</v>
      </c>
      <c r="L134" s="18" t="n">
        <f aca="false">F134*I134</f>
        <v>1040</v>
      </c>
      <c r="M134" s="18" t="n">
        <f aca="false">F134*J134</f>
        <v>300</v>
      </c>
      <c r="N134" s="18" t="n">
        <f aca="false">F134*K134</f>
        <v>0</v>
      </c>
      <c r="O134" s="18" t="n">
        <f aca="false">L134+M134+N134</f>
        <v>1340</v>
      </c>
      <c r="P134" s="42" t="str">
        <f aca="false">INDEX('Takeoff Detail'!$U:$U,MATCH(E134,'Takeoff Detail'!$A:$A,0))</f>
        <v>Measured</v>
      </c>
      <c r="Q134" s="42" t="str">
        <f aca="false">INDEX('Takeoff Detail'!$V:$V,MATCH(E134,'Takeoff Detail'!$A:$A,0))</f>
        <v>High</v>
      </c>
      <c r="R134" s="19" t="n">
        <f aca="false">O134/Summary!$C$4</f>
        <v>0.99112426035503</v>
      </c>
    </row>
    <row r="135" customFormat="false" ht="15" hidden="false" customHeight="false" outlineLevel="0" collapsed="false">
      <c r="A135" s="40" t="n">
        <v>134</v>
      </c>
      <c r="B135" s="40" t="s">
        <v>80</v>
      </c>
      <c r="C135" s="40" t="s">
        <v>81</v>
      </c>
      <c r="D135" s="38" t="s">
        <v>825</v>
      </c>
      <c r="E135" s="40" t="s">
        <v>824</v>
      </c>
      <c r="F135" s="41" t="n">
        <f aca="false">INDEX('Takeoff Detail'!$R:$R,MATCH(E135,'Takeoff Detail'!$A:$A,0))</f>
        <v>2</v>
      </c>
      <c r="G135" s="42" t="str">
        <f aca="false">INDEX('Takeoff Detail'!$P:$P,MATCH(E135,'Takeoff Detail'!$A:$A,0))</f>
        <v>EA</v>
      </c>
      <c r="H135" s="40" t="s">
        <v>824</v>
      </c>
      <c r="I135" s="43" t="n">
        <f aca="false">INDEX('Cost Database'!$E:$E,MATCH(H135,'Cost Database'!$A:$A,0))</f>
        <v>375</v>
      </c>
      <c r="J135" s="43" t="n">
        <f aca="false">INDEX('Cost Database'!$F:$F,MATCH(H135,'Cost Database'!$A:$A,0))</f>
        <v>225</v>
      </c>
      <c r="K135" s="43" t="n">
        <f aca="false">INDEX('Cost Database'!$G:$G,MATCH(H135,'Cost Database'!$A:$A,0))</f>
        <v>0</v>
      </c>
      <c r="L135" s="18" t="n">
        <f aca="false">F135*I135</f>
        <v>750</v>
      </c>
      <c r="M135" s="18" t="n">
        <f aca="false">F135*J135</f>
        <v>450</v>
      </c>
      <c r="N135" s="18" t="n">
        <f aca="false">F135*K135</f>
        <v>0</v>
      </c>
      <c r="O135" s="18" t="n">
        <f aca="false">L135+M135+N135</f>
        <v>1200</v>
      </c>
      <c r="P135" s="42" t="str">
        <f aca="false">INDEX('Takeoff Detail'!$U:$U,MATCH(E135,'Takeoff Detail'!$A:$A,0))</f>
        <v>Measured</v>
      </c>
      <c r="Q135" s="42" t="str">
        <f aca="false">INDEX('Takeoff Detail'!$V:$V,MATCH(E135,'Takeoff Detail'!$A:$A,0))</f>
        <v>High</v>
      </c>
      <c r="R135" s="19" t="n">
        <f aca="false">O135/Summary!$C$4</f>
        <v>0.887573964497041</v>
      </c>
    </row>
    <row r="136" customFormat="false" ht="28.35" hidden="false" customHeight="false" outlineLevel="0" collapsed="false">
      <c r="A136" s="40" t="n">
        <v>135</v>
      </c>
      <c r="B136" s="40" t="s">
        <v>80</v>
      </c>
      <c r="C136" s="40" t="s">
        <v>81</v>
      </c>
      <c r="D136" s="38" t="s">
        <v>828</v>
      </c>
      <c r="E136" s="40" t="s">
        <v>827</v>
      </c>
      <c r="F136" s="41" t="n">
        <f aca="false">INDEX('Takeoff Detail'!$R:$R,MATCH(E136,'Takeoff Detail'!$A:$A,0))</f>
        <v>1</v>
      </c>
      <c r="G136" s="42" t="str">
        <f aca="false">INDEX('Takeoff Detail'!$P:$P,MATCH(E136,'Takeoff Detail'!$A:$A,0))</f>
        <v>EA</v>
      </c>
      <c r="H136" s="40" t="s">
        <v>827</v>
      </c>
      <c r="I136" s="43" t="n">
        <f aca="false">INDEX('Cost Database'!$E:$E,MATCH(H136,'Cost Database'!$A:$A,0))</f>
        <v>925</v>
      </c>
      <c r="J136" s="43" t="n">
        <f aca="false">INDEX('Cost Database'!$F:$F,MATCH(H136,'Cost Database'!$A:$A,0))</f>
        <v>350</v>
      </c>
      <c r="K136" s="43" t="n">
        <f aca="false">INDEX('Cost Database'!$G:$G,MATCH(H136,'Cost Database'!$A:$A,0))</f>
        <v>0</v>
      </c>
      <c r="L136" s="18" t="n">
        <f aca="false">F136*I136</f>
        <v>925</v>
      </c>
      <c r="M136" s="18" t="n">
        <f aca="false">F136*J136</f>
        <v>350</v>
      </c>
      <c r="N136" s="18" t="n">
        <f aca="false">F136*K136</f>
        <v>0</v>
      </c>
      <c r="O136" s="18" t="n">
        <f aca="false">L136+M136+N136</f>
        <v>1275</v>
      </c>
      <c r="P136" s="42" t="str">
        <f aca="false">INDEX('Takeoff Detail'!$U:$U,MATCH(E136,'Takeoff Detail'!$A:$A,0))</f>
        <v>Measured</v>
      </c>
      <c r="Q136" s="42" t="str">
        <f aca="false">INDEX('Takeoff Detail'!$V:$V,MATCH(E136,'Takeoff Detail'!$A:$A,0))</f>
        <v>Medium</v>
      </c>
      <c r="R136" s="19" t="n">
        <f aca="false">O136/Summary!$C$4</f>
        <v>0.943047337278107</v>
      </c>
    </row>
    <row r="137" customFormat="false" ht="15" hidden="false" customHeight="false" outlineLevel="0" collapsed="false">
      <c r="A137" s="40" t="n">
        <v>136</v>
      </c>
      <c r="B137" s="40" t="s">
        <v>80</v>
      </c>
      <c r="C137" s="40" t="s">
        <v>81</v>
      </c>
      <c r="D137" s="38" t="s">
        <v>833</v>
      </c>
      <c r="E137" s="40" t="s">
        <v>832</v>
      </c>
      <c r="F137" s="41" t="n">
        <f aca="false">INDEX('Takeoff Detail'!$R:$R,MATCH(E137,'Takeoff Detail'!$A:$A,0))</f>
        <v>1</v>
      </c>
      <c r="G137" s="42" t="str">
        <f aca="false">INDEX('Takeoff Detail'!$P:$P,MATCH(E137,'Takeoff Detail'!$A:$A,0))</f>
        <v>LS</v>
      </c>
      <c r="H137" s="40" t="s">
        <v>832</v>
      </c>
      <c r="I137" s="43" t="n">
        <f aca="false">INDEX('Cost Database'!$E:$E,MATCH(H137,'Cost Database'!$A:$A,0))</f>
        <v>190</v>
      </c>
      <c r="J137" s="43" t="n">
        <f aca="false">INDEX('Cost Database'!$F:$F,MATCH(H137,'Cost Database'!$A:$A,0))</f>
        <v>0</v>
      </c>
      <c r="K137" s="43" t="n">
        <f aca="false">INDEX('Cost Database'!$G:$G,MATCH(H137,'Cost Database'!$A:$A,0))</f>
        <v>0</v>
      </c>
      <c r="L137" s="18" t="n">
        <f aca="false">F137*I137</f>
        <v>190</v>
      </c>
      <c r="M137" s="18" t="n">
        <f aca="false">F137*J137</f>
        <v>0</v>
      </c>
      <c r="N137" s="18" t="n">
        <f aca="false">F137*K137</f>
        <v>0</v>
      </c>
      <c r="O137" s="18" t="n">
        <f aca="false">L137+M137+N137</f>
        <v>190</v>
      </c>
      <c r="P137" s="42" t="str">
        <f aca="false">INDEX('Takeoff Detail'!$U:$U,MATCH(E137,'Takeoff Detail'!$A:$A,0))</f>
        <v>Measured</v>
      </c>
      <c r="Q137" s="42" t="str">
        <f aca="false">INDEX('Takeoff Detail'!$V:$V,MATCH(E137,'Takeoff Detail'!$A:$A,0))</f>
        <v>High</v>
      </c>
      <c r="R137" s="19" t="n">
        <f aca="false">O137/Summary!$C$4</f>
        <v>0.140532544378698</v>
      </c>
    </row>
    <row r="138" customFormat="false" ht="15" hidden="false" customHeight="false" outlineLevel="0" collapsed="false">
      <c r="A138" s="40" t="n">
        <v>137</v>
      </c>
      <c r="B138" s="40" t="s">
        <v>80</v>
      </c>
      <c r="C138" s="40" t="s">
        <v>81</v>
      </c>
      <c r="D138" s="38" t="s">
        <v>837</v>
      </c>
      <c r="E138" s="40" t="s">
        <v>836</v>
      </c>
      <c r="F138" s="41" t="n">
        <f aca="false">INDEX('Takeoff Detail'!$R:$R,MATCH(E138,'Takeoff Detail'!$A:$A,0))</f>
        <v>7</v>
      </c>
      <c r="G138" s="42" t="str">
        <f aca="false">INDEX('Takeoff Detail'!$P:$P,MATCH(E138,'Takeoff Detail'!$A:$A,0))</f>
        <v>EA</v>
      </c>
      <c r="H138" s="40" t="s">
        <v>836</v>
      </c>
      <c r="I138" s="43" t="n">
        <f aca="false">INDEX('Cost Database'!$E:$E,MATCH(H138,'Cost Database'!$A:$A,0))</f>
        <v>0</v>
      </c>
      <c r="J138" s="43" t="n">
        <f aca="false">INDEX('Cost Database'!$F:$F,MATCH(H138,'Cost Database'!$A:$A,0))</f>
        <v>145</v>
      </c>
      <c r="K138" s="43" t="n">
        <f aca="false">INDEX('Cost Database'!$G:$G,MATCH(H138,'Cost Database'!$A:$A,0))</f>
        <v>0</v>
      </c>
      <c r="L138" s="18" t="n">
        <f aca="false">F138*I138</f>
        <v>0</v>
      </c>
      <c r="M138" s="18" t="n">
        <f aca="false">F138*J138</f>
        <v>1015</v>
      </c>
      <c r="N138" s="18" t="n">
        <f aca="false">F138*K138</f>
        <v>0</v>
      </c>
      <c r="O138" s="18" t="n">
        <f aca="false">L138+M138+N138</f>
        <v>1015</v>
      </c>
      <c r="P138" s="42" t="str">
        <f aca="false">INDEX('Takeoff Detail'!$U:$U,MATCH(E138,'Takeoff Detail'!$A:$A,0))</f>
        <v>Calculated</v>
      </c>
      <c r="Q138" s="42" t="str">
        <f aca="false">INDEX('Takeoff Detail'!$V:$V,MATCH(E138,'Takeoff Detail'!$A:$A,0))</f>
        <v>High</v>
      </c>
      <c r="R138" s="19" t="n">
        <f aca="false">O138/Summary!$C$4</f>
        <v>0.750739644970414</v>
      </c>
    </row>
    <row r="139" customFormat="false" ht="15" hidden="false" customHeight="false" outlineLevel="0" collapsed="false">
      <c r="A139" s="40" t="n">
        <v>138</v>
      </c>
      <c r="B139" s="40" t="s">
        <v>80</v>
      </c>
      <c r="C139" s="40" t="s">
        <v>81</v>
      </c>
      <c r="D139" s="38" t="s">
        <v>841</v>
      </c>
      <c r="E139" s="40" t="s">
        <v>840</v>
      </c>
      <c r="F139" s="41" t="n">
        <f aca="false">INDEX('Takeoff Detail'!$R:$R,MATCH(E139,'Takeoff Detail'!$A:$A,0))</f>
        <v>1</v>
      </c>
      <c r="G139" s="42" t="str">
        <f aca="false">INDEX('Takeoff Detail'!$P:$P,MATCH(E139,'Takeoff Detail'!$A:$A,0))</f>
        <v>LS</v>
      </c>
      <c r="H139" s="40" t="s">
        <v>840</v>
      </c>
      <c r="I139" s="43" t="n">
        <f aca="false">INDEX('Cost Database'!$E:$E,MATCH(H139,'Cost Database'!$A:$A,0))</f>
        <v>0</v>
      </c>
      <c r="J139" s="43" t="n">
        <f aca="false">INDEX('Cost Database'!$F:$F,MATCH(H139,'Cost Database'!$A:$A,0))</f>
        <v>0</v>
      </c>
      <c r="K139" s="43" t="n">
        <f aca="false">INDEX('Cost Database'!$G:$G,MATCH(H139,'Cost Database'!$A:$A,0))</f>
        <v>275</v>
      </c>
      <c r="L139" s="18" t="n">
        <f aca="false">F139*I139</f>
        <v>0</v>
      </c>
      <c r="M139" s="18" t="n">
        <f aca="false">F139*J139</f>
        <v>0</v>
      </c>
      <c r="N139" s="18" t="n">
        <f aca="false">F139*K139</f>
        <v>275</v>
      </c>
      <c r="O139" s="18" t="n">
        <f aca="false">L139+M139+N139</f>
        <v>275</v>
      </c>
      <c r="P139" s="42" t="str">
        <f aca="false">INDEX('Takeoff Detail'!$U:$U,MATCH(E139,'Takeoff Detail'!$A:$A,0))</f>
        <v>Allowance</v>
      </c>
      <c r="Q139" s="42" t="str">
        <f aca="false">INDEX('Takeoff Detail'!$V:$V,MATCH(E139,'Takeoff Detail'!$A:$A,0))</f>
        <v>Medium</v>
      </c>
      <c r="R139" s="19" t="n">
        <f aca="false">O139/Summary!$C$4</f>
        <v>0.203402366863905</v>
      </c>
    </row>
    <row r="140" customFormat="false" ht="28.35" hidden="false" customHeight="false" outlineLevel="0" collapsed="false">
      <c r="A140" s="40" t="n">
        <v>139</v>
      </c>
      <c r="B140" s="40" t="s">
        <v>82</v>
      </c>
      <c r="C140" s="40" t="s">
        <v>83</v>
      </c>
      <c r="D140" s="38" t="s">
        <v>843</v>
      </c>
      <c r="E140" s="40" t="s">
        <v>842</v>
      </c>
      <c r="F140" s="41" t="n">
        <f aca="false">INDEX('Takeoff Detail'!$R:$R,MATCH(E140,'Takeoff Detail'!$A:$A,0))</f>
        <v>1</v>
      </c>
      <c r="G140" s="42" t="str">
        <f aca="false">INDEX('Takeoff Detail'!$P:$P,MATCH(E140,'Takeoff Detail'!$A:$A,0))</f>
        <v>EA</v>
      </c>
      <c r="H140" s="40" t="s">
        <v>842</v>
      </c>
      <c r="I140" s="43" t="n">
        <f aca="false">INDEX('Cost Database'!$E:$E,MATCH(H140,'Cost Database'!$A:$A,0))</f>
        <v>4650</v>
      </c>
      <c r="J140" s="43" t="n">
        <f aca="false">INDEX('Cost Database'!$F:$F,MATCH(H140,'Cost Database'!$A:$A,0))</f>
        <v>0</v>
      </c>
      <c r="K140" s="43" t="n">
        <f aca="false">INDEX('Cost Database'!$G:$G,MATCH(H140,'Cost Database'!$A:$A,0))</f>
        <v>0</v>
      </c>
      <c r="L140" s="18" t="n">
        <f aca="false">F140*I140</f>
        <v>4650</v>
      </c>
      <c r="M140" s="18" t="n">
        <f aca="false">F140*J140</f>
        <v>0</v>
      </c>
      <c r="N140" s="18" t="n">
        <f aca="false">F140*K140</f>
        <v>0</v>
      </c>
      <c r="O140" s="18" t="n">
        <f aca="false">L140+M140+N140</f>
        <v>4650</v>
      </c>
      <c r="P140" s="42" t="str">
        <f aca="false">INDEX('Takeoff Detail'!$U:$U,MATCH(E140,'Takeoff Detail'!$A:$A,0))</f>
        <v>Measured</v>
      </c>
      <c r="Q140" s="42" t="str">
        <f aca="false">INDEX('Takeoff Detail'!$V:$V,MATCH(E140,'Takeoff Detail'!$A:$A,0))</f>
        <v>Medium</v>
      </c>
      <c r="R140" s="19" t="n">
        <f aca="false">O140/Summary!$C$4</f>
        <v>3.43934911242604</v>
      </c>
    </row>
    <row r="141" customFormat="false" ht="15" hidden="false" customHeight="false" outlineLevel="0" collapsed="false">
      <c r="A141" s="40" t="n">
        <v>140</v>
      </c>
      <c r="B141" s="40" t="s">
        <v>82</v>
      </c>
      <c r="C141" s="40" t="s">
        <v>83</v>
      </c>
      <c r="D141" s="38" t="s">
        <v>848</v>
      </c>
      <c r="E141" s="40" t="s">
        <v>847</v>
      </c>
      <c r="F141" s="41" t="n">
        <f aca="false">INDEX('Takeoff Detail'!$R:$R,MATCH(E141,'Takeoff Detail'!$A:$A,0))</f>
        <v>1347.5</v>
      </c>
      <c r="G141" s="42" t="str">
        <f aca="false">INDEX('Takeoff Detail'!$P:$P,MATCH(E141,'Takeoff Detail'!$A:$A,0))</f>
        <v>SF</v>
      </c>
      <c r="H141" s="40" t="s">
        <v>847</v>
      </c>
      <c r="I141" s="43" t="n">
        <f aca="false">INDEX('Cost Database'!$E:$E,MATCH(H141,'Cost Database'!$A:$A,0))</f>
        <v>1.35</v>
      </c>
      <c r="J141" s="43" t="n">
        <f aca="false">INDEX('Cost Database'!$F:$F,MATCH(H141,'Cost Database'!$A:$A,0))</f>
        <v>1.1</v>
      </c>
      <c r="K141" s="43" t="n">
        <f aca="false">INDEX('Cost Database'!$G:$G,MATCH(H141,'Cost Database'!$A:$A,0))</f>
        <v>0</v>
      </c>
      <c r="L141" s="18" t="n">
        <f aca="false">F141*I141</f>
        <v>1819.125</v>
      </c>
      <c r="M141" s="18" t="n">
        <f aca="false">F141*J141</f>
        <v>1482.25</v>
      </c>
      <c r="N141" s="18" t="n">
        <f aca="false">F141*K141</f>
        <v>0</v>
      </c>
      <c r="O141" s="18" t="n">
        <f aca="false">L141+M141+N141</f>
        <v>3301.375</v>
      </c>
      <c r="P141" s="42" t="str">
        <f aca="false">INDEX('Takeoff Detail'!$U:$U,MATCH(E141,'Takeoff Detail'!$A:$A,0))</f>
        <v>Calculated</v>
      </c>
      <c r="Q141" s="42" t="str">
        <f aca="false">INDEX('Takeoff Detail'!$V:$V,MATCH(E141,'Takeoff Detail'!$A:$A,0))</f>
        <v>High</v>
      </c>
      <c r="R141" s="19" t="n">
        <f aca="false">O141/Summary!$C$4</f>
        <v>2.44184541420118</v>
      </c>
    </row>
    <row r="142" customFormat="false" ht="28.35" hidden="false" customHeight="false" outlineLevel="0" collapsed="false">
      <c r="A142" s="40" t="n">
        <v>141</v>
      </c>
      <c r="B142" s="40" t="s">
        <v>82</v>
      </c>
      <c r="C142" s="40" t="s">
        <v>83</v>
      </c>
      <c r="D142" s="38" t="s">
        <v>851</v>
      </c>
      <c r="E142" s="40" t="s">
        <v>850</v>
      </c>
      <c r="F142" s="41" t="n">
        <f aca="false">INDEX('Takeoff Detail'!$R:$R,MATCH(E142,'Takeoff Detail'!$A:$A,0))</f>
        <v>1</v>
      </c>
      <c r="G142" s="42" t="str">
        <f aca="false">INDEX('Takeoff Detail'!$P:$P,MATCH(E142,'Takeoff Detail'!$A:$A,0))</f>
        <v>LS</v>
      </c>
      <c r="H142" s="40" t="s">
        <v>850</v>
      </c>
      <c r="I142" s="43" t="n">
        <f aca="false">INDEX('Cost Database'!$E:$E,MATCH(H142,'Cost Database'!$A:$A,0))</f>
        <v>650</v>
      </c>
      <c r="J142" s="43" t="n">
        <f aca="false">INDEX('Cost Database'!$F:$F,MATCH(H142,'Cost Database'!$A:$A,0))</f>
        <v>2600</v>
      </c>
      <c r="K142" s="43" t="n">
        <f aca="false">INDEX('Cost Database'!$G:$G,MATCH(H142,'Cost Database'!$A:$A,0))</f>
        <v>0</v>
      </c>
      <c r="L142" s="18" t="n">
        <f aca="false">F142*I142</f>
        <v>650</v>
      </c>
      <c r="M142" s="18" t="n">
        <f aca="false">F142*J142</f>
        <v>2600</v>
      </c>
      <c r="N142" s="18" t="n">
        <f aca="false">F142*K142</f>
        <v>0</v>
      </c>
      <c r="O142" s="18" t="n">
        <f aca="false">L142+M142+N142</f>
        <v>3250</v>
      </c>
      <c r="P142" s="42" t="str">
        <f aca="false">INDEX('Takeoff Detail'!$U:$U,MATCH(E142,'Takeoff Detail'!$A:$A,0))</f>
        <v>Allowance</v>
      </c>
      <c r="Q142" s="42" t="str">
        <f aca="false">INDEX('Takeoff Detail'!$V:$V,MATCH(E142,'Takeoff Detail'!$A:$A,0))</f>
        <v>Medium</v>
      </c>
      <c r="R142" s="19" t="n">
        <f aca="false">O142/Summary!$C$4</f>
        <v>2.40384615384615</v>
      </c>
    </row>
    <row r="143" customFormat="false" ht="15" hidden="false" customHeight="false" outlineLevel="0" collapsed="false">
      <c r="A143" s="40" t="n">
        <v>142</v>
      </c>
      <c r="B143" s="40" t="s">
        <v>82</v>
      </c>
      <c r="C143" s="40" t="s">
        <v>83</v>
      </c>
      <c r="D143" s="38" t="s">
        <v>854</v>
      </c>
      <c r="E143" s="40" t="s">
        <v>853</v>
      </c>
      <c r="F143" s="41" t="n">
        <f aca="false">INDEX('Takeoff Detail'!$R:$R,MATCH(E143,'Takeoff Detail'!$A:$A,0))</f>
        <v>2</v>
      </c>
      <c r="G143" s="42" t="str">
        <f aca="false">INDEX('Takeoff Detail'!$P:$P,MATCH(E143,'Takeoff Detail'!$A:$A,0))</f>
        <v>EA</v>
      </c>
      <c r="H143" s="40" t="s">
        <v>853</v>
      </c>
      <c r="I143" s="43" t="n">
        <f aca="false">INDEX('Cost Database'!$E:$E,MATCH(H143,'Cost Database'!$A:$A,0))</f>
        <v>95</v>
      </c>
      <c r="J143" s="43" t="n">
        <f aca="false">INDEX('Cost Database'!$F:$F,MATCH(H143,'Cost Database'!$A:$A,0))</f>
        <v>125</v>
      </c>
      <c r="K143" s="43" t="n">
        <f aca="false">INDEX('Cost Database'!$G:$G,MATCH(H143,'Cost Database'!$A:$A,0))</f>
        <v>0</v>
      </c>
      <c r="L143" s="18" t="n">
        <f aca="false">F143*I143</f>
        <v>190</v>
      </c>
      <c r="M143" s="18" t="n">
        <f aca="false">F143*J143</f>
        <v>250</v>
      </c>
      <c r="N143" s="18" t="n">
        <f aca="false">F143*K143</f>
        <v>0</v>
      </c>
      <c r="O143" s="18" t="n">
        <f aca="false">L143+M143+N143</f>
        <v>440</v>
      </c>
      <c r="P143" s="42" t="str">
        <f aca="false">INDEX('Takeoff Detail'!$U:$U,MATCH(E143,'Takeoff Detail'!$A:$A,0))</f>
        <v>Measured</v>
      </c>
      <c r="Q143" s="42" t="str">
        <f aca="false">INDEX('Takeoff Detail'!$V:$V,MATCH(E143,'Takeoff Detail'!$A:$A,0))</f>
        <v>High</v>
      </c>
      <c r="R143" s="19" t="n">
        <f aca="false">O143/Summary!$C$4</f>
        <v>0.325443786982249</v>
      </c>
    </row>
    <row r="144" customFormat="false" ht="15" hidden="false" customHeight="false" outlineLevel="0" collapsed="false">
      <c r="A144" s="40" t="n">
        <v>143</v>
      </c>
      <c r="B144" s="40" t="s">
        <v>82</v>
      </c>
      <c r="C144" s="40" t="s">
        <v>83</v>
      </c>
      <c r="D144" s="38" t="s">
        <v>857</v>
      </c>
      <c r="E144" s="40" t="s">
        <v>856</v>
      </c>
      <c r="F144" s="41" t="n">
        <f aca="false">INDEX('Takeoff Detail'!$R:$R,MATCH(E144,'Takeoff Detail'!$A:$A,0))</f>
        <v>1</v>
      </c>
      <c r="G144" s="42" t="str">
        <f aca="false">INDEX('Takeoff Detail'!$P:$P,MATCH(E144,'Takeoff Detail'!$A:$A,0))</f>
        <v>EA</v>
      </c>
      <c r="H144" s="40" t="s">
        <v>856</v>
      </c>
      <c r="I144" s="43" t="n">
        <f aca="false">INDEX('Cost Database'!$E:$E,MATCH(H144,'Cost Database'!$A:$A,0))</f>
        <v>55</v>
      </c>
      <c r="J144" s="43" t="n">
        <f aca="false">INDEX('Cost Database'!$F:$F,MATCH(H144,'Cost Database'!$A:$A,0))</f>
        <v>110</v>
      </c>
      <c r="K144" s="43" t="n">
        <f aca="false">INDEX('Cost Database'!$G:$G,MATCH(H144,'Cost Database'!$A:$A,0))</f>
        <v>0</v>
      </c>
      <c r="L144" s="18" t="n">
        <f aca="false">F144*I144</f>
        <v>55</v>
      </c>
      <c r="M144" s="18" t="n">
        <f aca="false">F144*J144</f>
        <v>110</v>
      </c>
      <c r="N144" s="18" t="n">
        <f aca="false">F144*K144</f>
        <v>0</v>
      </c>
      <c r="O144" s="18" t="n">
        <f aca="false">L144+M144+N144</f>
        <v>165</v>
      </c>
      <c r="P144" s="42" t="str">
        <f aca="false">INDEX('Takeoff Detail'!$U:$U,MATCH(E144,'Takeoff Detail'!$A:$A,0))</f>
        <v>Assumed</v>
      </c>
      <c r="Q144" s="42" t="str">
        <f aca="false">INDEX('Takeoff Detail'!$V:$V,MATCH(E144,'Takeoff Detail'!$A:$A,0))</f>
        <v>Medium</v>
      </c>
      <c r="R144" s="19" t="n">
        <f aca="false">O144/Summary!$C$4</f>
        <v>0.122041420118343</v>
      </c>
    </row>
    <row r="145" customFormat="false" ht="15" hidden="false" customHeight="false" outlineLevel="0" collapsed="false">
      <c r="A145" s="40" t="n">
        <v>144</v>
      </c>
      <c r="B145" s="40" t="s">
        <v>82</v>
      </c>
      <c r="C145" s="40" t="s">
        <v>83</v>
      </c>
      <c r="D145" s="38" t="s">
        <v>859</v>
      </c>
      <c r="E145" s="40" t="s">
        <v>858</v>
      </c>
      <c r="F145" s="41" t="n">
        <f aca="false">INDEX('Takeoff Detail'!$R:$R,MATCH(E145,'Takeoff Detail'!$A:$A,0))</f>
        <v>1</v>
      </c>
      <c r="G145" s="42" t="str">
        <f aca="false">INDEX('Takeoff Detail'!$P:$P,MATCH(E145,'Takeoff Detail'!$A:$A,0))</f>
        <v>EA</v>
      </c>
      <c r="H145" s="40" t="s">
        <v>858</v>
      </c>
      <c r="I145" s="43" t="n">
        <f aca="false">INDEX('Cost Database'!$E:$E,MATCH(H145,'Cost Database'!$A:$A,0))</f>
        <v>65</v>
      </c>
      <c r="J145" s="43" t="n">
        <f aca="false">INDEX('Cost Database'!$F:$F,MATCH(H145,'Cost Database'!$A:$A,0))</f>
        <v>125</v>
      </c>
      <c r="K145" s="43" t="n">
        <f aca="false">INDEX('Cost Database'!$G:$G,MATCH(H145,'Cost Database'!$A:$A,0))</f>
        <v>0</v>
      </c>
      <c r="L145" s="18" t="n">
        <f aca="false">F145*I145</f>
        <v>65</v>
      </c>
      <c r="M145" s="18" t="n">
        <f aca="false">F145*J145</f>
        <v>125</v>
      </c>
      <c r="N145" s="18" t="n">
        <f aca="false">F145*K145</f>
        <v>0</v>
      </c>
      <c r="O145" s="18" t="n">
        <f aca="false">L145+M145+N145</f>
        <v>190</v>
      </c>
      <c r="P145" s="42" t="str">
        <f aca="false">INDEX('Takeoff Detail'!$U:$U,MATCH(E145,'Takeoff Detail'!$A:$A,0))</f>
        <v>Assumed</v>
      </c>
      <c r="Q145" s="42" t="str">
        <f aca="false">INDEX('Takeoff Detail'!$V:$V,MATCH(E145,'Takeoff Detail'!$A:$A,0))</f>
        <v>Medium</v>
      </c>
      <c r="R145" s="19" t="n">
        <f aca="false">O145/Summary!$C$4</f>
        <v>0.140532544378698</v>
      </c>
    </row>
    <row r="146" customFormat="false" ht="15" hidden="false" customHeight="false" outlineLevel="0" collapsed="false">
      <c r="A146" s="40" t="n">
        <v>145</v>
      </c>
      <c r="B146" s="40" t="s">
        <v>82</v>
      </c>
      <c r="C146" s="40" t="s">
        <v>83</v>
      </c>
      <c r="D146" s="38" t="s">
        <v>862</v>
      </c>
      <c r="E146" s="40" t="s">
        <v>861</v>
      </c>
      <c r="F146" s="41" t="n">
        <f aca="false">INDEX('Takeoff Detail'!$R:$R,MATCH(E146,'Takeoff Detail'!$A:$A,0))</f>
        <v>1</v>
      </c>
      <c r="G146" s="42" t="str">
        <f aca="false">INDEX('Takeoff Detail'!$P:$P,MATCH(E146,'Takeoff Detail'!$A:$A,0))</f>
        <v>LS</v>
      </c>
      <c r="H146" s="40" t="s">
        <v>861</v>
      </c>
      <c r="I146" s="43" t="n">
        <f aca="false">INDEX('Cost Database'!$E:$E,MATCH(H146,'Cost Database'!$A:$A,0))</f>
        <v>0</v>
      </c>
      <c r="J146" s="43" t="n">
        <f aca="false">INDEX('Cost Database'!$F:$F,MATCH(H146,'Cost Database'!$A:$A,0))</f>
        <v>0</v>
      </c>
      <c r="K146" s="43" t="n">
        <f aca="false">INDEX('Cost Database'!$G:$G,MATCH(H146,'Cost Database'!$A:$A,0))</f>
        <v>175</v>
      </c>
      <c r="L146" s="18" t="n">
        <f aca="false">F146*I146</f>
        <v>0</v>
      </c>
      <c r="M146" s="18" t="n">
        <f aca="false">F146*J146</f>
        <v>0</v>
      </c>
      <c r="N146" s="18" t="n">
        <f aca="false">F146*K146</f>
        <v>175</v>
      </c>
      <c r="O146" s="18" t="n">
        <f aca="false">L146+M146+N146</f>
        <v>175</v>
      </c>
      <c r="P146" s="42" t="str">
        <f aca="false">INDEX('Takeoff Detail'!$U:$U,MATCH(E146,'Takeoff Detail'!$A:$A,0))</f>
        <v>Allowance</v>
      </c>
      <c r="Q146" s="42" t="str">
        <f aca="false">INDEX('Takeoff Detail'!$V:$V,MATCH(E146,'Takeoff Detail'!$A:$A,0))</f>
        <v>Medium</v>
      </c>
      <c r="R146" s="19" t="n">
        <f aca="false">O146/Summary!$C$4</f>
        <v>0.129437869822485</v>
      </c>
    </row>
    <row r="147" customFormat="false" ht="28.35" hidden="false" customHeight="false" outlineLevel="0" collapsed="false">
      <c r="A147" s="40" t="n">
        <v>146</v>
      </c>
      <c r="B147" s="40" t="s">
        <v>84</v>
      </c>
      <c r="C147" s="40" t="s">
        <v>85</v>
      </c>
      <c r="D147" s="38" t="s">
        <v>864</v>
      </c>
      <c r="E147" s="40" t="s">
        <v>863</v>
      </c>
      <c r="F147" s="41" t="n">
        <f aca="false">INDEX('Takeoff Detail'!$R:$R,MATCH(E147,'Takeoff Detail'!$A:$A,0))</f>
        <v>1</v>
      </c>
      <c r="G147" s="42" t="str">
        <f aca="false">INDEX('Takeoff Detail'!$P:$P,MATCH(E147,'Takeoff Detail'!$A:$A,0))</f>
        <v>LS</v>
      </c>
      <c r="H147" s="40" t="s">
        <v>863</v>
      </c>
      <c r="I147" s="43" t="n">
        <f aca="false">INDEX('Cost Database'!$E:$E,MATCH(H147,'Cost Database'!$A:$A,0))</f>
        <v>1750</v>
      </c>
      <c r="J147" s="43" t="n">
        <f aca="false">INDEX('Cost Database'!$F:$F,MATCH(H147,'Cost Database'!$A:$A,0))</f>
        <v>1250</v>
      </c>
      <c r="K147" s="43" t="n">
        <f aca="false">INDEX('Cost Database'!$G:$G,MATCH(H147,'Cost Database'!$A:$A,0))</f>
        <v>0</v>
      </c>
      <c r="L147" s="18" t="n">
        <f aca="false">F147*I147</f>
        <v>1750</v>
      </c>
      <c r="M147" s="18" t="n">
        <f aca="false">F147*J147</f>
        <v>1250</v>
      </c>
      <c r="N147" s="18" t="n">
        <f aca="false">F147*K147</f>
        <v>0</v>
      </c>
      <c r="O147" s="18" t="n">
        <f aca="false">L147+M147+N147</f>
        <v>3000</v>
      </c>
      <c r="P147" s="42" t="str">
        <f aca="false">INDEX('Takeoff Detail'!$U:$U,MATCH(E147,'Takeoff Detail'!$A:$A,0))</f>
        <v>Assumed</v>
      </c>
      <c r="Q147" s="42" t="str">
        <f aca="false">INDEX('Takeoff Detail'!$V:$V,MATCH(E147,'Takeoff Detail'!$A:$A,0))</f>
        <v>Medium</v>
      </c>
      <c r="R147" s="19" t="n">
        <f aca="false">O147/Summary!$C$4</f>
        <v>2.2189349112426</v>
      </c>
    </row>
    <row r="148" customFormat="false" ht="28.35" hidden="false" customHeight="false" outlineLevel="0" collapsed="false">
      <c r="A148" s="40" t="n">
        <v>147</v>
      </c>
      <c r="B148" s="40" t="s">
        <v>84</v>
      </c>
      <c r="C148" s="40" t="s">
        <v>85</v>
      </c>
      <c r="D148" s="38" t="s">
        <v>868</v>
      </c>
      <c r="E148" s="40" t="s">
        <v>867</v>
      </c>
      <c r="F148" s="41" t="n">
        <f aca="false">INDEX('Takeoff Detail'!$R:$R,MATCH(E148,'Takeoff Detail'!$A:$A,0))</f>
        <v>1347.5</v>
      </c>
      <c r="G148" s="42" t="str">
        <f aca="false">INDEX('Takeoff Detail'!$P:$P,MATCH(E148,'Takeoff Detail'!$A:$A,0))</f>
        <v>SF</v>
      </c>
      <c r="H148" s="40" t="s">
        <v>867</v>
      </c>
      <c r="I148" s="43" t="n">
        <f aca="false">INDEX('Cost Database'!$E:$E,MATCH(H148,'Cost Database'!$A:$A,0))</f>
        <v>1.55</v>
      </c>
      <c r="J148" s="43" t="n">
        <f aca="false">INDEX('Cost Database'!$F:$F,MATCH(H148,'Cost Database'!$A:$A,0))</f>
        <v>2.1</v>
      </c>
      <c r="K148" s="43" t="n">
        <f aca="false">INDEX('Cost Database'!$G:$G,MATCH(H148,'Cost Database'!$A:$A,0))</f>
        <v>0</v>
      </c>
      <c r="L148" s="18" t="n">
        <f aca="false">F148*I148</f>
        <v>2088.625</v>
      </c>
      <c r="M148" s="18" t="n">
        <f aca="false">F148*J148</f>
        <v>2829.75</v>
      </c>
      <c r="N148" s="18" t="n">
        <f aca="false">F148*K148</f>
        <v>0</v>
      </c>
      <c r="O148" s="18" t="n">
        <f aca="false">L148+M148+N148</f>
        <v>4918.375</v>
      </c>
      <c r="P148" s="42" t="str">
        <f aca="false">INDEX('Takeoff Detail'!$U:$U,MATCH(E148,'Takeoff Detail'!$A:$A,0))</f>
        <v>Calculated</v>
      </c>
      <c r="Q148" s="42" t="str">
        <f aca="false">INDEX('Takeoff Detail'!$V:$V,MATCH(E148,'Takeoff Detail'!$A:$A,0))</f>
        <v>High</v>
      </c>
      <c r="R148" s="19" t="n">
        <f aca="false">O148/Summary!$C$4</f>
        <v>3.63785133136095</v>
      </c>
    </row>
    <row r="149" customFormat="false" ht="15" hidden="false" customHeight="false" outlineLevel="0" collapsed="false">
      <c r="A149" s="40" t="n">
        <v>148</v>
      </c>
      <c r="B149" s="40" t="s">
        <v>84</v>
      </c>
      <c r="C149" s="40" t="s">
        <v>85</v>
      </c>
      <c r="D149" s="38" t="s">
        <v>870</v>
      </c>
      <c r="E149" s="40" t="s">
        <v>869</v>
      </c>
      <c r="F149" s="41" t="n">
        <f aca="false">INDEX('Takeoff Detail'!$R:$R,MATCH(E149,'Takeoff Detail'!$A:$A,0))</f>
        <v>628.25</v>
      </c>
      <c r="G149" s="42" t="str">
        <f aca="false">INDEX('Takeoff Detail'!$P:$P,MATCH(E149,'Takeoff Detail'!$A:$A,0))</f>
        <v>SF</v>
      </c>
      <c r="H149" s="40" t="s">
        <v>869</v>
      </c>
      <c r="I149" s="43" t="n">
        <f aca="false">INDEX('Cost Database'!$E:$E,MATCH(H149,'Cost Database'!$A:$A,0))</f>
        <v>0.45</v>
      </c>
      <c r="J149" s="43" t="n">
        <f aca="false">INDEX('Cost Database'!$F:$F,MATCH(H149,'Cost Database'!$A:$A,0))</f>
        <v>0.65</v>
      </c>
      <c r="K149" s="43" t="n">
        <f aca="false">INDEX('Cost Database'!$G:$G,MATCH(H149,'Cost Database'!$A:$A,0))</f>
        <v>0</v>
      </c>
      <c r="L149" s="18" t="n">
        <f aca="false">F149*I149</f>
        <v>282.7125</v>
      </c>
      <c r="M149" s="18" t="n">
        <f aca="false">F149*J149</f>
        <v>408.3625</v>
      </c>
      <c r="N149" s="18" t="n">
        <f aca="false">F149*K149</f>
        <v>0</v>
      </c>
      <c r="O149" s="18" t="n">
        <f aca="false">L149+M149+N149</f>
        <v>691.075</v>
      </c>
      <c r="P149" s="42" t="str">
        <f aca="false">INDEX('Takeoff Detail'!$U:$U,MATCH(E149,'Takeoff Detail'!$A:$A,0))</f>
        <v>Calculated</v>
      </c>
      <c r="Q149" s="42" t="str">
        <f aca="false">INDEX('Takeoff Detail'!$V:$V,MATCH(E149,'Takeoff Detail'!$A:$A,0))</f>
        <v>High</v>
      </c>
      <c r="R149" s="19" t="n">
        <f aca="false">O149/Summary!$C$4</f>
        <v>0.511150147928994</v>
      </c>
    </row>
    <row r="150" customFormat="false" ht="15" hidden="false" customHeight="false" outlineLevel="0" collapsed="false">
      <c r="A150" s="40" t="n">
        <v>149</v>
      </c>
      <c r="B150" s="40" t="s">
        <v>84</v>
      </c>
      <c r="C150" s="40" t="s">
        <v>85</v>
      </c>
      <c r="D150" s="38" t="s">
        <v>873</v>
      </c>
      <c r="E150" s="40" t="s">
        <v>872</v>
      </c>
      <c r="F150" s="41" t="n">
        <f aca="false">INDEX('Takeoff Detail'!$R:$R,MATCH(E150,'Takeoff Detail'!$A:$A,0))</f>
        <v>64</v>
      </c>
      <c r="G150" s="42" t="str">
        <f aca="false">INDEX('Takeoff Detail'!$P:$P,MATCH(E150,'Takeoff Detail'!$A:$A,0))</f>
        <v>EA</v>
      </c>
      <c r="H150" s="40" t="s">
        <v>872</v>
      </c>
      <c r="I150" s="43" t="n">
        <f aca="false">INDEX('Cost Database'!$E:$E,MATCH(H150,'Cost Database'!$A:$A,0))</f>
        <v>7</v>
      </c>
      <c r="J150" s="43" t="n">
        <f aca="false">INDEX('Cost Database'!$F:$F,MATCH(H150,'Cost Database'!$A:$A,0))</f>
        <v>18</v>
      </c>
      <c r="K150" s="43" t="n">
        <f aca="false">INDEX('Cost Database'!$G:$G,MATCH(H150,'Cost Database'!$A:$A,0))</f>
        <v>0</v>
      </c>
      <c r="L150" s="18" t="n">
        <f aca="false">F150*I150</f>
        <v>448</v>
      </c>
      <c r="M150" s="18" t="n">
        <f aca="false">F150*J150</f>
        <v>1152</v>
      </c>
      <c r="N150" s="18" t="n">
        <f aca="false">F150*K150</f>
        <v>0</v>
      </c>
      <c r="O150" s="18" t="n">
        <f aca="false">L150+M150+N150</f>
        <v>1600</v>
      </c>
      <c r="P150" s="42" t="str">
        <f aca="false">INDEX('Takeoff Detail'!$U:$U,MATCH(E150,'Takeoff Detail'!$A:$A,0))</f>
        <v>Assumed</v>
      </c>
      <c r="Q150" s="42" t="str">
        <f aca="false">INDEX('Takeoff Detail'!$V:$V,MATCH(E150,'Takeoff Detail'!$A:$A,0))</f>
        <v>Low</v>
      </c>
      <c r="R150" s="19" t="n">
        <f aca="false">O150/Summary!$C$4</f>
        <v>1.18343195266272</v>
      </c>
    </row>
    <row r="151" customFormat="false" ht="15" hidden="false" customHeight="false" outlineLevel="0" collapsed="false">
      <c r="A151" s="40" t="n">
        <v>150</v>
      </c>
      <c r="B151" s="40" t="s">
        <v>84</v>
      </c>
      <c r="C151" s="40" t="s">
        <v>85</v>
      </c>
      <c r="D151" s="38" t="s">
        <v>877</v>
      </c>
      <c r="E151" s="40" t="s">
        <v>876</v>
      </c>
      <c r="F151" s="41" t="n">
        <f aca="false">INDEX('Takeoff Detail'!$R:$R,MATCH(E151,'Takeoff Detail'!$A:$A,0))</f>
        <v>8</v>
      </c>
      <c r="G151" s="42" t="str">
        <f aca="false">INDEX('Takeoff Detail'!$P:$P,MATCH(E151,'Takeoff Detail'!$A:$A,0))</f>
        <v>EA</v>
      </c>
      <c r="H151" s="40" t="s">
        <v>876</v>
      </c>
      <c r="I151" s="43" t="n">
        <f aca="false">INDEX('Cost Database'!$E:$E,MATCH(H151,'Cost Database'!$A:$A,0))</f>
        <v>95</v>
      </c>
      <c r="J151" s="43" t="n">
        <f aca="false">INDEX('Cost Database'!$F:$F,MATCH(H151,'Cost Database'!$A:$A,0))</f>
        <v>125</v>
      </c>
      <c r="K151" s="43" t="n">
        <f aca="false">INDEX('Cost Database'!$G:$G,MATCH(H151,'Cost Database'!$A:$A,0))</f>
        <v>0</v>
      </c>
      <c r="L151" s="18" t="n">
        <f aca="false">F151*I151</f>
        <v>760</v>
      </c>
      <c r="M151" s="18" t="n">
        <f aca="false">F151*J151</f>
        <v>1000</v>
      </c>
      <c r="N151" s="18" t="n">
        <f aca="false">F151*K151</f>
        <v>0</v>
      </c>
      <c r="O151" s="18" t="n">
        <f aca="false">L151+M151+N151</f>
        <v>1760</v>
      </c>
      <c r="P151" s="42" t="str">
        <f aca="false">INDEX('Takeoff Detail'!$U:$U,MATCH(E151,'Takeoff Detail'!$A:$A,0))</f>
        <v>Calculated</v>
      </c>
      <c r="Q151" s="42" t="str">
        <f aca="false">INDEX('Takeoff Detail'!$V:$V,MATCH(E151,'Takeoff Detail'!$A:$A,0))</f>
        <v>Medium</v>
      </c>
      <c r="R151" s="19" t="n">
        <f aca="false">O151/Summary!$C$4</f>
        <v>1.30177514792899</v>
      </c>
    </row>
    <row r="152" customFormat="false" ht="28.35" hidden="false" customHeight="false" outlineLevel="0" collapsed="false">
      <c r="A152" s="40" t="n">
        <v>151</v>
      </c>
      <c r="B152" s="40" t="s">
        <v>84</v>
      </c>
      <c r="C152" s="40" t="s">
        <v>85</v>
      </c>
      <c r="D152" s="38" t="s">
        <v>880</v>
      </c>
      <c r="E152" s="40" t="s">
        <v>879</v>
      </c>
      <c r="F152" s="41" t="n">
        <f aca="false">INDEX('Takeoff Detail'!$R:$R,MATCH(E152,'Takeoff Detail'!$A:$A,0))</f>
        <v>4</v>
      </c>
      <c r="G152" s="42" t="str">
        <f aca="false">INDEX('Takeoff Detail'!$P:$P,MATCH(E152,'Takeoff Detail'!$A:$A,0))</f>
        <v>EA</v>
      </c>
      <c r="H152" s="40" t="s">
        <v>879</v>
      </c>
      <c r="I152" s="43" t="n">
        <f aca="false">INDEX('Cost Database'!$E:$E,MATCH(H152,'Cost Database'!$A:$A,0))</f>
        <v>48</v>
      </c>
      <c r="J152" s="43" t="n">
        <f aca="false">INDEX('Cost Database'!$F:$F,MATCH(H152,'Cost Database'!$A:$A,0))</f>
        <v>30</v>
      </c>
      <c r="K152" s="43" t="n">
        <f aca="false">INDEX('Cost Database'!$G:$G,MATCH(H152,'Cost Database'!$A:$A,0))</f>
        <v>0</v>
      </c>
      <c r="L152" s="18" t="n">
        <f aca="false">F152*I152</f>
        <v>192</v>
      </c>
      <c r="M152" s="18" t="n">
        <f aca="false">F152*J152</f>
        <v>120</v>
      </c>
      <c r="N152" s="18" t="n">
        <f aca="false">F152*K152</f>
        <v>0</v>
      </c>
      <c r="O152" s="18" t="n">
        <f aca="false">L152+M152+N152</f>
        <v>312</v>
      </c>
      <c r="P152" s="42" t="str">
        <f aca="false">INDEX('Takeoff Detail'!$U:$U,MATCH(E152,'Takeoff Detail'!$A:$A,0))</f>
        <v>Assumed</v>
      </c>
      <c r="Q152" s="42" t="str">
        <f aca="false">INDEX('Takeoff Detail'!$V:$V,MATCH(E152,'Takeoff Detail'!$A:$A,0))</f>
        <v>Medium</v>
      </c>
      <c r="R152" s="19" t="n">
        <f aca="false">O152/Summary!$C$4</f>
        <v>0.230769230769231</v>
      </c>
    </row>
    <row r="153" customFormat="false" ht="15" hidden="false" customHeight="false" outlineLevel="0" collapsed="false">
      <c r="A153" s="40" t="n">
        <v>152</v>
      </c>
      <c r="B153" s="40" t="s">
        <v>84</v>
      </c>
      <c r="C153" s="40" t="s">
        <v>85</v>
      </c>
      <c r="D153" s="38" t="s">
        <v>883</v>
      </c>
      <c r="E153" s="40" t="s">
        <v>882</v>
      </c>
      <c r="F153" s="41" t="n">
        <f aca="false">INDEX('Takeoff Detail'!$R:$R,MATCH(E153,'Takeoff Detail'!$A:$A,0))</f>
        <v>23</v>
      </c>
      <c r="G153" s="42" t="str">
        <f aca="false">INDEX('Takeoff Detail'!$P:$P,MATCH(E153,'Takeoff Detail'!$A:$A,0))</f>
        <v>EA</v>
      </c>
      <c r="H153" s="40" t="s">
        <v>882</v>
      </c>
      <c r="I153" s="43" t="n">
        <f aca="false">INDEX('Cost Database'!$E:$E,MATCH(H153,'Cost Database'!$A:$A,0))</f>
        <v>24</v>
      </c>
      <c r="J153" s="43" t="n">
        <f aca="false">INDEX('Cost Database'!$F:$F,MATCH(H153,'Cost Database'!$A:$A,0))</f>
        <v>40</v>
      </c>
      <c r="K153" s="43" t="n">
        <f aca="false">INDEX('Cost Database'!$G:$G,MATCH(H153,'Cost Database'!$A:$A,0))</f>
        <v>0</v>
      </c>
      <c r="L153" s="18" t="n">
        <f aca="false">F153*I153</f>
        <v>552</v>
      </c>
      <c r="M153" s="18" t="n">
        <f aca="false">F153*J153</f>
        <v>920</v>
      </c>
      <c r="N153" s="18" t="n">
        <f aca="false">F153*K153</f>
        <v>0</v>
      </c>
      <c r="O153" s="18" t="n">
        <f aca="false">L153+M153+N153</f>
        <v>1472</v>
      </c>
      <c r="P153" s="42" t="str">
        <f aca="false">INDEX('Takeoff Detail'!$U:$U,MATCH(E153,'Takeoff Detail'!$A:$A,0))</f>
        <v>Measured</v>
      </c>
      <c r="Q153" s="42" t="str">
        <f aca="false">INDEX('Takeoff Detail'!$V:$V,MATCH(E153,'Takeoff Detail'!$A:$A,0))</f>
        <v>Medium</v>
      </c>
      <c r="R153" s="19" t="n">
        <f aca="false">O153/Summary!$C$4</f>
        <v>1.0887573964497</v>
      </c>
    </row>
    <row r="154" customFormat="false" ht="15" hidden="false" customHeight="false" outlineLevel="0" collapsed="false">
      <c r="A154" s="40" t="n">
        <v>153</v>
      </c>
      <c r="B154" s="40" t="s">
        <v>84</v>
      </c>
      <c r="C154" s="40" t="s">
        <v>85</v>
      </c>
      <c r="D154" s="38" t="s">
        <v>887</v>
      </c>
      <c r="E154" s="40" t="s">
        <v>886</v>
      </c>
      <c r="F154" s="41" t="n">
        <f aca="false">INDEX('Takeoff Detail'!$R:$R,MATCH(E154,'Takeoff Detail'!$A:$A,0))</f>
        <v>2</v>
      </c>
      <c r="G154" s="42" t="str">
        <f aca="false">INDEX('Takeoff Detail'!$P:$P,MATCH(E154,'Takeoff Detail'!$A:$A,0))</f>
        <v>EA</v>
      </c>
      <c r="H154" s="40" t="s">
        <v>886</v>
      </c>
      <c r="I154" s="43" t="n">
        <f aca="false">INDEX('Cost Database'!$E:$E,MATCH(H154,'Cost Database'!$A:$A,0))</f>
        <v>120</v>
      </c>
      <c r="J154" s="43" t="n">
        <f aca="false">INDEX('Cost Database'!$F:$F,MATCH(H154,'Cost Database'!$A:$A,0))</f>
        <v>55</v>
      </c>
      <c r="K154" s="43" t="n">
        <f aca="false">INDEX('Cost Database'!$G:$G,MATCH(H154,'Cost Database'!$A:$A,0))</f>
        <v>0</v>
      </c>
      <c r="L154" s="18" t="n">
        <f aca="false">F154*I154</f>
        <v>240</v>
      </c>
      <c r="M154" s="18" t="n">
        <f aca="false">F154*J154</f>
        <v>110</v>
      </c>
      <c r="N154" s="18" t="n">
        <f aca="false">F154*K154</f>
        <v>0</v>
      </c>
      <c r="O154" s="18" t="n">
        <f aca="false">L154+M154+N154</f>
        <v>350</v>
      </c>
      <c r="P154" s="42" t="str">
        <f aca="false">INDEX('Takeoff Detail'!$U:$U,MATCH(E154,'Takeoff Detail'!$A:$A,0))</f>
        <v>Measured</v>
      </c>
      <c r="Q154" s="42" t="str">
        <f aca="false">INDEX('Takeoff Detail'!$V:$V,MATCH(E154,'Takeoff Detail'!$A:$A,0))</f>
        <v>High</v>
      </c>
      <c r="R154" s="19" t="n">
        <f aca="false">O154/Summary!$C$4</f>
        <v>0.25887573964497</v>
      </c>
    </row>
    <row r="155" customFormat="false" ht="15" hidden="false" customHeight="false" outlineLevel="0" collapsed="false">
      <c r="A155" s="40" t="n">
        <v>154</v>
      </c>
      <c r="B155" s="40" t="s">
        <v>84</v>
      </c>
      <c r="C155" s="40" t="s">
        <v>85</v>
      </c>
      <c r="D155" s="38" t="s">
        <v>891</v>
      </c>
      <c r="E155" s="40" t="s">
        <v>890</v>
      </c>
      <c r="F155" s="41" t="n">
        <f aca="false">INDEX('Takeoff Detail'!$R:$R,MATCH(E155,'Takeoff Detail'!$A:$A,0))</f>
        <v>3</v>
      </c>
      <c r="G155" s="42" t="str">
        <f aca="false">INDEX('Takeoff Detail'!$P:$P,MATCH(E155,'Takeoff Detail'!$A:$A,0))</f>
        <v>EA</v>
      </c>
      <c r="H155" s="40" t="s">
        <v>890</v>
      </c>
      <c r="I155" s="43" t="n">
        <f aca="false">INDEX('Cost Database'!$E:$E,MATCH(H155,'Cost Database'!$A:$A,0))</f>
        <v>175</v>
      </c>
      <c r="J155" s="43" t="n">
        <f aca="false">INDEX('Cost Database'!$F:$F,MATCH(H155,'Cost Database'!$A:$A,0))</f>
        <v>85</v>
      </c>
      <c r="K155" s="43" t="n">
        <f aca="false">INDEX('Cost Database'!$G:$G,MATCH(H155,'Cost Database'!$A:$A,0))</f>
        <v>0</v>
      </c>
      <c r="L155" s="18" t="n">
        <f aca="false">F155*I155</f>
        <v>525</v>
      </c>
      <c r="M155" s="18" t="n">
        <f aca="false">F155*J155</f>
        <v>255</v>
      </c>
      <c r="N155" s="18" t="n">
        <f aca="false">F155*K155</f>
        <v>0</v>
      </c>
      <c r="O155" s="18" t="n">
        <f aca="false">L155+M155+N155</f>
        <v>780</v>
      </c>
      <c r="P155" s="42" t="str">
        <f aca="false">INDEX('Takeoff Detail'!$U:$U,MATCH(E155,'Takeoff Detail'!$A:$A,0))</f>
        <v>Measured</v>
      </c>
      <c r="Q155" s="42" t="str">
        <f aca="false">INDEX('Takeoff Detail'!$V:$V,MATCH(E155,'Takeoff Detail'!$A:$A,0))</f>
        <v>High</v>
      </c>
      <c r="R155" s="19" t="n">
        <f aca="false">O155/Summary!$C$4</f>
        <v>0.576923076923077</v>
      </c>
    </row>
    <row r="156" customFormat="false" ht="15" hidden="false" customHeight="false" outlineLevel="0" collapsed="false">
      <c r="A156" s="40" t="n">
        <v>155</v>
      </c>
      <c r="B156" s="40" t="s">
        <v>84</v>
      </c>
      <c r="C156" s="40" t="s">
        <v>85</v>
      </c>
      <c r="D156" s="38" t="s">
        <v>894</v>
      </c>
      <c r="E156" s="40" t="s">
        <v>893</v>
      </c>
      <c r="F156" s="41" t="n">
        <f aca="false">INDEX('Takeoff Detail'!$R:$R,MATCH(E156,'Takeoff Detail'!$A:$A,0))</f>
        <v>2</v>
      </c>
      <c r="G156" s="42" t="str">
        <f aca="false">INDEX('Takeoff Detail'!$P:$P,MATCH(E156,'Takeoff Detail'!$A:$A,0))</f>
        <v>EA</v>
      </c>
      <c r="H156" s="40" t="s">
        <v>893</v>
      </c>
      <c r="I156" s="43" t="n">
        <f aca="false">INDEX('Cost Database'!$E:$E,MATCH(H156,'Cost Database'!$A:$A,0))</f>
        <v>85</v>
      </c>
      <c r="J156" s="43" t="n">
        <f aca="false">INDEX('Cost Database'!$F:$F,MATCH(H156,'Cost Database'!$A:$A,0))</f>
        <v>45</v>
      </c>
      <c r="K156" s="43" t="n">
        <f aca="false">INDEX('Cost Database'!$G:$G,MATCH(H156,'Cost Database'!$A:$A,0))</f>
        <v>0</v>
      </c>
      <c r="L156" s="18" t="n">
        <f aca="false">F156*I156</f>
        <v>170</v>
      </c>
      <c r="M156" s="18" t="n">
        <f aca="false">F156*J156</f>
        <v>90</v>
      </c>
      <c r="N156" s="18" t="n">
        <f aca="false">F156*K156</f>
        <v>0</v>
      </c>
      <c r="O156" s="18" t="n">
        <f aca="false">L156+M156+N156</f>
        <v>260</v>
      </c>
      <c r="P156" s="42" t="str">
        <f aca="false">INDEX('Takeoff Detail'!$U:$U,MATCH(E156,'Takeoff Detail'!$A:$A,0))</f>
        <v>Measured</v>
      </c>
      <c r="Q156" s="42" t="str">
        <f aca="false">INDEX('Takeoff Detail'!$V:$V,MATCH(E156,'Takeoff Detail'!$A:$A,0))</f>
        <v>High</v>
      </c>
      <c r="R156" s="19" t="n">
        <f aca="false">O156/Summary!$C$4</f>
        <v>0.192307692307692</v>
      </c>
    </row>
    <row r="157" customFormat="false" ht="28.35" hidden="false" customHeight="false" outlineLevel="0" collapsed="false">
      <c r="A157" s="40" t="n">
        <v>156</v>
      </c>
      <c r="B157" s="40" t="s">
        <v>84</v>
      </c>
      <c r="C157" s="40" t="s">
        <v>85</v>
      </c>
      <c r="D157" s="38" t="s">
        <v>896</v>
      </c>
      <c r="E157" s="40" t="s">
        <v>895</v>
      </c>
      <c r="F157" s="41" t="n">
        <f aca="false">INDEX('Takeoff Detail'!$R:$R,MATCH(E157,'Takeoff Detail'!$A:$A,0))</f>
        <v>8</v>
      </c>
      <c r="G157" s="42" t="str">
        <f aca="false">INDEX('Takeoff Detail'!$P:$P,MATCH(E157,'Takeoff Detail'!$A:$A,0))</f>
        <v>EA</v>
      </c>
      <c r="H157" s="40" t="s">
        <v>895</v>
      </c>
      <c r="I157" s="43" t="n">
        <f aca="false">INDEX('Cost Database'!$E:$E,MATCH(H157,'Cost Database'!$A:$A,0))</f>
        <v>55</v>
      </c>
      <c r="J157" s="43" t="n">
        <f aca="false">INDEX('Cost Database'!$F:$F,MATCH(H157,'Cost Database'!$A:$A,0))</f>
        <v>50</v>
      </c>
      <c r="K157" s="43" t="n">
        <f aca="false">INDEX('Cost Database'!$G:$G,MATCH(H157,'Cost Database'!$A:$A,0))</f>
        <v>0</v>
      </c>
      <c r="L157" s="18" t="n">
        <f aca="false">F157*I157</f>
        <v>440</v>
      </c>
      <c r="M157" s="18" t="n">
        <f aca="false">F157*J157</f>
        <v>400</v>
      </c>
      <c r="N157" s="18" t="n">
        <f aca="false">F157*K157</f>
        <v>0</v>
      </c>
      <c r="O157" s="18" t="n">
        <f aca="false">L157+M157+N157</f>
        <v>840</v>
      </c>
      <c r="P157" s="42" t="str">
        <f aca="false">INDEX('Takeoff Detail'!$U:$U,MATCH(E157,'Takeoff Detail'!$A:$A,0))</f>
        <v>Assumed</v>
      </c>
      <c r="Q157" s="42" t="str">
        <f aca="false">INDEX('Takeoff Detail'!$V:$V,MATCH(E157,'Takeoff Detail'!$A:$A,0))</f>
        <v>Medium</v>
      </c>
      <c r="R157" s="19" t="n">
        <f aca="false">O157/Summary!$C$4</f>
        <v>0.621301775147929</v>
      </c>
    </row>
    <row r="158" customFormat="false" ht="15" hidden="false" customHeight="false" outlineLevel="0" collapsed="false">
      <c r="A158" s="40" t="n">
        <v>157</v>
      </c>
      <c r="B158" s="40" t="s">
        <v>84</v>
      </c>
      <c r="C158" s="40" t="s">
        <v>85</v>
      </c>
      <c r="D158" s="38" t="s">
        <v>899</v>
      </c>
      <c r="E158" s="40" t="s">
        <v>898</v>
      </c>
      <c r="F158" s="41" t="n">
        <f aca="false">INDEX('Takeoff Detail'!$R:$R,MATCH(E158,'Takeoff Detail'!$A:$A,0))</f>
        <v>1</v>
      </c>
      <c r="G158" s="42" t="str">
        <f aca="false">INDEX('Takeoff Detail'!$P:$P,MATCH(E158,'Takeoff Detail'!$A:$A,0))</f>
        <v>LS</v>
      </c>
      <c r="H158" s="40" t="s">
        <v>898</v>
      </c>
      <c r="I158" s="43" t="n">
        <f aca="false">INDEX('Cost Database'!$E:$E,MATCH(H158,'Cost Database'!$A:$A,0))</f>
        <v>225</v>
      </c>
      <c r="J158" s="43" t="n">
        <f aca="false">INDEX('Cost Database'!$F:$F,MATCH(H158,'Cost Database'!$A:$A,0))</f>
        <v>375</v>
      </c>
      <c r="K158" s="43" t="n">
        <f aca="false">INDEX('Cost Database'!$G:$G,MATCH(H158,'Cost Database'!$A:$A,0))</f>
        <v>0</v>
      </c>
      <c r="L158" s="18" t="n">
        <f aca="false">F158*I158</f>
        <v>225</v>
      </c>
      <c r="M158" s="18" t="n">
        <f aca="false">F158*J158</f>
        <v>375</v>
      </c>
      <c r="N158" s="18" t="n">
        <f aca="false">F158*K158</f>
        <v>0</v>
      </c>
      <c r="O158" s="18" t="n">
        <f aca="false">L158+M158+N158</f>
        <v>600</v>
      </c>
      <c r="P158" s="42" t="str">
        <f aca="false">INDEX('Takeoff Detail'!$U:$U,MATCH(E158,'Takeoff Detail'!$A:$A,0))</f>
        <v>Allowance</v>
      </c>
      <c r="Q158" s="42" t="str">
        <f aca="false">INDEX('Takeoff Detail'!$V:$V,MATCH(E158,'Takeoff Detail'!$A:$A,0))</f>
        <v>Medium</v>
      </c>
      <c r="R158" s="19" t="n">
        <f aca="false">O158/Summary!$C$4</f>
        <v>0.443786982248521</v>
      </c>
    </row>
    <row r="159" customFormat="false" ht="15" hidden="false" customHeight="false" outlineLevel="0" collapsed="false">
      <c r="A159" s="40" t="n">
        <v>158</v>
      </c>
      <c r="B159" s="40" t="s">
        <v>84</v>
      </c>
      <c r="C159" s="40" t="s">
        <v>85</v>
      </c>
      <c r="D159" s="38" t="s">
        <v>901</v>
      </c>
      <c r="E159" s="40" t="s">
        <v>900</v>
      </c>
      <c r="F159" s="41" t="n">
        <f aca="false">INDEX('Takeoff Detail'!$R:$R,MATCH(E159,'Takeoff Detail'!$A:$A,0))</f>
        <v>1</v>
      </c>
      <c r="G159" s="42" t="str">
        <f aca="false">INDEX('Takeoff Detail'!$P:$P,MATCH(E159,'Takeoff Detail'!$A:$A,0))</f>
        <v>LS</v>
      </c>
      <c r="H159" s="40" t="s">
        <v>900</v>
      </c>
      <c r="I159" s="43" t="n">
        <f aca="false">INDEX('Cost Database'!$E:$E,MATCH(H159,'Cost Database'!$A:$A,0))</f>
        <v>0</v>
      </c>
      <c r="J159" s="43" t="n">
        <f aca="false">INDEX('Cost Database'!$F:$F,MATCH(H159,'Cost Database'!$A:$A,0))</f>
        <v>0</v>
      </c>
      <c r="K159" s="43" t="n">
        <f aca="false">INDEX('Cost Database'!$G:$G,MATCH(H159,'Cost Database'!$A:$A,0))</f>
        <v>225</v>
      </c>
      <c r="L159" s="18" t="n">
        <f aca="false">F159*I159</f>
        <v>0</v>
      </c>
      <c r="M159" s="18" t="n">
        <f aca="false">F159*J159</f>
        <v>0</v>
      </c>
      <c r="N159" s="18" t="n">
        <f aca="false">F159*K159</f>
        <v>225</v>
      </c>
      <c r="O159" s="18" t="n">
        <f aca="false">L159+M159+N159</f>
        <v>225</v>
      </c>
      <c r="P159" s="42" t="str">
        <f aca="false">INDEX('Takeoff Detail'!$U:$U,MATCH(E159,'Takeoff Detail'!$A:$A,0))</f>
        <v>Allowance</v>
      </c>
      <c r="Q159" s="42" t="str">
        <f aca="false">INDEX('Takeoff Detail'!$V:$V,MATCH(E159,'Takeoff Detail'!$A:$A,0))</f>
        <v>Medium</v>
      </c>
      <c r="R159" s="19" t="n">
        <f aca="false">O159/Summary!$C$4</f>
        <v>0.166420118343195</v>
      </c>
    </row>
    <row r="160" customFormat="false" ht="15" hidden="false" customHeight="false" outlineLevel="0" collapsed="false">
      <c r="A160" s="40" t="n">
        <v>159</v>
      </c>
      <c r="B160" s="40" t="s">
        <v>86</v>
      </c>
      <c r="C160" s="40" t="s">
        <v>87</v>
      </c>
      <c r="D160" s="38" t="s">
        <v>903</v>
      </c>
      <c r="E160" s="40" t="s">
        <v>902</v>
      </c>
      <c r="F160" s="41" t="n">
        <f aca="false">INDEX('Takeoff Detail'!$R:$R,MATCH(E160,'Takeoff Detail'!$A:$A,0))</f>
        <v>1548.96</v>
      </c>
      <c r="G160" s="42" t="str">
        <f aca="false">INDEX('Takeoff Detail'!$P:$P,MATCH(E160,'Takeoff Detail'!$A:$A,0))</f>
        <v>SF</v>
      </c>
      <c r="H160" s="40" t="s">
        <v>902</v>
      </c>
      <c r="I160" s="43" t="n">
        <f aca="false">INDEX('Cost Database'!$E:$E,MATCH(H160,'Cost Database'!$A:$A,0))</f>
        <v>3.35</v>
      </c>
      <c r="J160" s="43" t="n">
        <f aca="false">INDEX('Cost Database'!$F:$F,MATCH(H160,'Cost Database'!$A:$A,0))</f>
        <v>3.9</v>
      </c>
      <c r="K160" s="43" t="n">
        <f aca="false">INDEX('Cost Database'!$G:$G,MATCH(H160,'Cost Database'!$A:$A,0))</f>
        <v>0</v>
      </c>
      <c r="L160" s="18" t="n">
        <f aca="false">F160*I160</f>
        <v>5189.016</v>
      </c>
      <c r="M160" s="18" t="n">
        <f aca="false">F160*J160</f>
        <v>6040.944</v>
      </c>
      <c r="N160" s="18" t="n">
        <f aca="false">F160*K160</f>
        <v>0</v>
      </c>
      <c r="O160" s="18" t="n">
        <f aca="false">L160+M160+N160</f>
        <v>11229.96</v>
      </c>
      <c r="P160" s="42" t="str">
        <f aca="false">INDEX('Takeoff Detail'!$U:$U,MATCH(E160,'Takeoff Detail'!$A:$A,0))</f>
        <v>Measured</v>
      </c>
      <c r="Q160" s="42" t="str">
        <f aca="false">INDEX('Takeoff Detail'!$V:$V,MATCH(E160,'Takeoff Detail'!$A:$A,0))</f>
        <v>Medium</v>
      </c>
      <c r="R160" s="19" t="n">
        <f aca="false">O160/Summary!$C$4</f>
        <v>8.30618343195266</v>
      </c>
    </row>
    <row r="161" customFormat="false" ht="15" hidden="false" customHeight="false" outlineLevel="0" collapsed="false">
      <c r="A161" s="40" t="n">
        <v>160</v>
      </c>
      <c r="B161" s="40" t="s">
        <v>86</v>
      </c>
      <c r="C161" s="40" t="s">
        <v>87</v>
      </c>
      <c r="D161" s="38" t="s">
        <v>910</v>
      </c>
      <c r="E161" s="40" t="s">
        <v>909</v>
      </c>
      <c r="F161" s="41" t="n">
        <f aca="false">INDEX('Takeoff Detail'!$R:$R,MATCH(E161,'Takeoff Detail'!$A:$A,0))</f>
        <v>216</v>
      </c>
      <c r="G161" s="42" t="str">
        <f aca="false">INDEX('Takeoff Detail'!$P:$P,MATCH(E161,'Takeoff Detail'!$A:$A,0))</f>
        <v>SF</v>
      </c>
      <c r="H161" s="40" t="s">
        <v>909</v>
      </c>
      <c r="I161" s="43" t="n">
        <f aca="false">INDEX('Cost Database'!$E:$E,MATCH(H161,'Cost Database'!$A:$A,0))</f>
        <v>3.35</v>
      </c>
      <c r="J161" s="43" t="n">
        <f aca="false">INDEX('Cost Database'!$F:$F,MATCH(H161,'Cost Database'!$A:$A,0))</f>
        <v>3.9</v>
      </c>
      <c r="K161" s="43" t="n">
        <f aca="false">INDEX('Cost Database'!$G:$G,MATCH(H161,'Cost Database'!$A:$A,0))</f>
        <v>0</v>
      </c>
      <c r="L161" s="18" t="n">
        <f aca="false">F161*I161</f>
        <v>723.6</v>
      </c>
      <c r="M161" s="18" t="n">
        <f aca="false">F161*J161</f>
        <v>842.4</v>
      </c>
      <c r="N161" s="18" t="n">
        <f aca="false">F161*K161</f>
        <v>0</v>
      </c>
      <c r="O161" s="18" t="n">
        <f aca="false">L161+M161+N161</f>
        <v>1566</v>
      </c>
      <c r="P161" s="42" t="str">
        <f aca="false">INDEX('Takeoff Detail'!$U:$U,MATCH(E161,'Takeoff Detail'!$A:$A,0))</f>
        <v>Measured</v>
      </c>
      <c r="Q161" s="42" t="str">
        <f aca="false">INDEX('Takeoff Detail'!$V:$V,MATCH(E161,'Takeoff Detail'!$A:$A,0))</f>
        <v>High</v>
      </c>
      <c r="R161" s="19" t="n">
        <f aca="false">O161/Summary!$C$4</f>
        <v>1.15828402366864</v>
      </c>
    </row>
    <row r="162" customFormat="false" ht="15" hidden="false" customHeight="false" outlineLevel="0" collapsed="false">
      <c r="A162" s="40" t="n">
        <v>161</v>
      </c>
      <c r="B162" s="40" t="s">
        <v>86</v>
      </c>
      <c r="C162" s="40" t="s">
        <v>87</v>
      </c>
      <c r="D162" s="38" t="s">
        <v>914</v>
      </c>
      <c r="E162" s="40" t="s">
        <v>913</v>
      </c>
      <c r="F162" s="41" t="n">
        <f aca="false">INDEX('Takeoff Detail'!$R:$R,MATCH(E162,'Takeoff Detail'!$A:$A,0))</f>
        <v>62.4</v>
      </c>
      <c r="G162" s="42" t="str">
        <f aca="false">INDEX('Takeoff Detail'!$P:$P,MATCH(E162,'Takeoff Detail'!$A:$A,0))</f>
        <v>SF</v>
      </c>
      <c r="H162" s="40" t="s">
        <v>913</v>
      </c>
      <c r="I162" s="43" t="n">
        <f aca="false">INDEX('Cost Database'!$E:$E,MATCH(H162,'Cost Database'!$A:$A,0))</f>
        <v>3.35</v>
      </c>
      <c r="J162" s="43" t="n">
        <f aca="false">INDEX('Cost Database'!$F:$F,MATCH(H162,'Cost Database'!$A:$A,0))</f>
        <v>3.9</v>
      </c>
      <c r="K162" s="43" t="n">
        <f aca="false">INDEX('Cost Database'!$G:$G,MATCH(H162,'Cost Database'!$A:$A,0))</f>
        <v>0</v>
      </c>
      <c r="L162" s="18" t="n">
        <f aca="false">F162*I162</f>
        <v>209.04</v>
      </c>
      <c r="M162" s="18" t="n">
        <f aca="false">F162*J162</f>
        <v>243.36</v>
      </c>
      <c r="N162" s="18" t="n">
        <f aca="false">F162*K162</f>
        <v>0</v>
      </c>
      <c r="O162" s="18" t="n">
        <f aca="false">L162+M162+N162</f>
        <v>452.4</v>
      </c>
      <c r="P162" s="42" t="str">
        <f aca="false">INDEX('Takeoff Detail'!$U:$U,MATCH(E162,'Takeoff Detail'!$A:$A,0))</f>
        <v>Measured</v>
      </c>
      <c r="Q162" s="42" t="str">
        <f aca="false">INDEX('Takeoff Detail'!$V:$V,MATCH(E162,'Takeoff Detail'!$A:$A,0))</f>
        <v>Medium</v>
      </c>
      <c r="R162" s="19" t="n">
        <f aca="false">O162/Summary!$C$4</f>
        <v>0.334615384615385</v>
      </c>
    </row>
    <row r="163" customFormat="false" ht="15" hidden="false" customHeight="false" outlineLevel="0" collapsed="false">
      <c r="A163" s="40" t="n">
        <v>162</v>
      </c>
      <c r="B163" s="40" t="s">
        <v>86</v>
      </c>
      <c r="C163" s="40" t="s">
        <v>87</v>
      </c>
      <c r="D163" s="38" t="s">
        <v>917</v>
      </c>
      <c r="E163" s="40" t="s">
        <v>916</v>
      </c>
      <c r="F163" s="41" t="n">
        <f aca="false">INDEX('Takeoff Detail'!$R:$R,MATCH(E163,'Takeoff Detail'!$A:$A,0))</f>
        <v>1</v>
      </c>
      <c r="G163" s="42" t="str">
        <f aca="false">INDEX('Takeoff Detail'!$P:$P,MATCH(E163,'Takeoff Detail'!$A:$A,0))</f>
        <v>LS</v>
      </c>
      <c r="H163" s="40" t="s">
        <v>916</v>
      </c>
      <c r="I163" s="43" t="n">
        <f aca="false">INDEX('Cost Database'!$E:$E,MATCH(H163,'Cost Database'!$A:$A,0))</f>
        <v>0</v>
      </c>
      <c r="J163" s="43" t="n">
        <f aca="false">INDEX('Cost Database'!$F:$F,MATCH(H163,'Cost Database'!$A:$A,0))</f>
        <v>0</v>
      </c>
      <c r="K163" s="43" t="n">
        <f aca="false">INDEX('Cost Database'!$G:$G,MATCH(H163,'Cost Database'!$A:$A,0))</f>
        <v>1200</v>
      </c>
      <c r="L163" s="18" t="n">
        <f aca="false">F163*I163</f>
        <v>0</v>
      </c>
      <c r="M163" s="18" t="n">
        <f aca="false">F163*J163</f>
        <v>0</v>
      </c>
      <c r="N163" s="18" t="n">
        <f aca="false">F163*K163</f>
        <v>1200</v>
      </c>
      <c r="O163" s="18" t="n">
        <f aca="false">L163+M163+N163</f>
        <v>1200</v>
      </c>
      <c r="P163" s="42" t="str">
        <f aca="false">INDEX('Takeoff Detail'!$U:$U,MATCH(E163,'Takeoff Detail'!$A:$A,0))</f>
        <v>Allowance</v>
      </c>
      <c r="Q163" s="42" t="str">
        <f aca="false">INDEX('Takeoff Detail'!$V:$V,MATCH(E163,'Takeoff Detail'!$A:$A,0))</f>
        <v>Low</v>
      </c>
      <c r="R163" s="19" t="n">
        <f aca="false">O163/Summary!$C$4</f>
        <v>0.887573964497041</v>
      </c>
    </row>
    <row r="164" customFormat="false" ht="15" hidden="false" customHeight="false" outlineLevel="0" collapsed="false">
      <c r="A164" s="40" t="n">
        <v>163</v>
      </c>
      <c r="B164" s="40" t="s">
        <v>86</v>
      </c>
      <c r="C164" s="40" t="s">
        <v>87</v>
      </c>
      <c r="D164" s="38" t="s">
        <v>920</v>
      </c>
      <c r="E164" s="40" t="s">
        <v>919</v>
      </c>
      <c r="F164" s="41" t="n">
        <f aca="false">INDEX('Takeoff Detail'!$R:$R,MATCH(E164,'Takeoff Detail'!$A:$A,0))</f>
        <v>12</v>
      </c>
      <c r="G164" s="42" t="str">
        <f aca="false">INDEX('Takeoff Detail'!$P:$P,MATCH(E164,'Takeoff Detail'!$A:$A,0))</f>
        <v>EA</v>
      </c>
      <c r="H164" s="40" t="s">
        <v>919</v>
      </c>
      <c r="I164" s="43" t="n">
        <f aca="false">INDEX('Cost Database'!$E:$E,MATCH(H164,'Cost Database'!$A:$A,0))</f>
        <v>28</v>
      </c>
      <c r="J164" s="43" t="n">
        <f aca="false">INDEX('Cost Database'!$F:$F,MATCH(H164,'Cost Database'!$A:$A,0))</f>
        <v>15</v>
      </c>
      <c r="K164" s="43" t="n">
        <f aca="false">INDEX('Cost Database'!$G:$G,MATCH(H164,'Cost Database'!$A:$A,0))</f>
        <v>0</v>
      </c>
      <c r="L164" s="18" t="n">
        <f aca="false">F164*I164</f>
        <v>336</v>
      </c>
      <c r="M164" s="18" t="n">
        <f aca="false">F164*J164</f>
        <v>180</v>
      </c>
      <c r="N164" s="18" t="n">
        <f aca="false">F164*K164</f>
        <v>0</v>
      </c>
      <c r="O164" s="18" t="n">
        <f aca="false">L164+M164+N164</f>
        <v>516</v>
      </c>
      <c r="P164" s="42" t="str">
        <f aca="false">INDEX('Takeoff Detail'!$U:$U,MATCH(E164,'Takeoff Detail'!$A:$A,0))</f>
        <v>Measured</v>
      </c>
      <c r="Q164" s="42" t="str">
        <f aca="false">INDEX('Takeoff Detail'!$V:$V,MATCH(E164,'Takeoff Detail'!$A:$A,0))</f>
        <v>Medium</v>
      </c>
      <c r="R164" s="19" t="n">
        <f aca="false">O164/Summary!$C$4</f>
        <v>0.381656804733728</v>
      </c>
    </row>
    <row r="165" customFormat="false" ht="15" hidden="false" customHeight="false" outlineLevel="0" collapsed="false">
      <c r="A165" s="40" t="n">
        <v>164</v>
      </c>
      <c r="B165" s="40" t="s">
        <v>86</v>
      </c>
      <c r="C165" s="40" t="s">
        <v>87</v>
      </c>
      <c r="D165" s="38" t="s">
        <v>924</v>
      </c>
      <c r="E165" s="40" t="s">
        <v>923</v>
      </c>
      <c r="F165" s="41" t="n">
        <f aca="false">INDEX('Takeoff Detail'!$R:$R,MATCH(E165,'Takeoff Detail'!$A:$A,0))</f>
        <v>256.68</v>
      </c>
      <c r="G165" s="42" t="str">
        <f aca="false">INDEX('Takeoff Detail'!$P:$P,MATCH(E165,'Takeoff Detail'!$A:$A,0))</f>
        <v>SF</v>
      </c>
      <c r="H165" s="40" t="s">
        <v>923</v>
      </c>
      <c r="I165" s="43" t="n">
        <f aca="false">INDEX('Cost Database'!$E:$E,MATCH(H165,'Cost Database'!$A:$A,0))</f>
        <v>0.55</v>
      </c>
      <c r="J165" s="43" t="n">
        <f aca="false">INDEX('Cost Database'!$F:$F,MATCH(H165,'Cost Database'!$A:$A,0))</f>
        <v>0.45</v>
      </c>
      <c r="K165" s="43" t="n">
        <f aca="false">INDEX('Cost Database'!$G:$G,MATCH(H165,'Cost Database'!$A:$A,0))</f>
        <v>0</v>
      </c>
      <c r="L165" s="18" t="n">
        <f aca="false">F165*I165</f>
        <v>141.174</v>
      </c>
      <c r="M165" s="18" t="n">
        <f aca="false">F165*J165</f>
        <v>115.506</v>
      </c>
      <c r="N165" s="18" t="n">
        <f aca="false">F165*K165</f>
        <v>0</v>
      </c>
      <c r="O165" s="18" t="n">
        <f aca="false">L165+M165+N165</f>
        <v>256.68</v>
      </c>
      <c r="P165" s="42" t="str">
        <f aca="false">INDEX('Takeoff Detail'!$U:$U,MATCH(E165,'Takeoff Detail'!$A:$A,0))</f>
        <v>Measured</v>
      </c>
      <c r="Q165" s="42" t="str">
        <f aca="false">INDEX('Takeoff Detail'!$V:$V,MATCH(E165,'Takeoff Detail'!$A:$A,0))</f>
        <v>High</v>
      </c>
      <c r="R165" s="19" t="n">
        <f aca="false">O165/Summary!$C$4</f>
        <v>0.189852071005917</v>
      </c>
    </row>
    <row r="166" customFormat="false" ht="15" hidden="false" customHeight="false" outlineLevel="0" collapsed="false">
      <c r="A166" s="40" t="n">
        <v>165</v>
      </c>
      <c r="B166" s="40" t="s">
        <v>86</v>
      </c>
      <c r="C166" s="40" t="s">
        <v>87</v>
      </c>
      <c r="D166" s="38" t="s">
        <v>928</v>
      </c>
      <c r="E166" s="40" t="s">
        <v>927</v>
      </c>
      <c r="F166" s="41" t="n">
        <f aca="false">INDEX('Takeoff Detail'!$R:$R,MATCH(E166,'Takeoff Detail'!$A:$A,0))</f>
        <v>1</v>
      </c>
      <c r="G166" s="42" t="str">
        <f aca="false">INDEX('Takeoff Detail'!$P:$P,MATCH(E166,'Takeoff Detail'!$A:$A,0))</f>
        <v>EA</v>
      </c>
      <c r="H166" s="40" t="s">
        <v>927</v>
      </c>
      <c r="I166" s="43" t="n">
        <f aca="false">INDEX('Cost Database'!$E:$E,MATCH(H166,'Cost Database'!$A:$A,0))</f>
        <v>275</v>
      </c>
      <c r="J166" s="43" t="n">
        <f aca="false">INDEX('Cost Database'!$F:$F,MATCH(H166,'Cost Database'!$A:$A,0))</f>
        <v>125</v>
      </c>
      <c r="K166" s="43" t="n">
        <f aca="false">INDEX('Cost Database'!$G:$G,MATCH(H166,'Cost Database'!$A:$A,0))</f>
        <v>0</v>
      </c>
      <c r="L166" s="18" t="n">
        <f aca="false">F166*I166</f>
        <v>275</v>
      </c>
      <c r="M166" s="18" t="n">
        <f aca="false">F166*J166</f>
        <v>125</v>
      </c>
      <c r="N166" s="18" t="n">
        <f aca="false">F166*K166</f>
        <v>0</v>
      </c>
      <c r="O166" s="18" t="n">
        <f aca="false">L166+M166+N166</f>
        <v>400</v>
      </c>
      <c r="P166" s="42" t="str">
        <f aca="false">INDEX('Takeoff Detail'!$U:$U,MATCH(E166,'Takeoff Detail'!$A:$A,0))</f>
        <v>Measured</v>
      </c>
      <c r="Q166" s="42" t="str">
        <f aca="false">INDEX('Takeoff Detail'!$V:$V,MATCH(E166,'Takeoff Detail'!$A:$A,0))</f>
        <v>High</v>
      </c>
      <c r="R166" s="19" t="n">
        <f aca="false">O166/Summary!$C$4</f>
        <v>0.295857988165681</v>
      </c>
    </row>
    <row r="167" customFormat="false" ht="15" hidden="false" customHeight="false" outlineLevel="0" collapsed="false">
      <c r="A167" s="40" t="n">
        <v>166</v>
      </c>
      <c r="B167" s="40" t="s">
        <v>86</v>
      </c>
      <c r="C167" s="40" t="s">
        <v>87</v>
      </c>
      <c r="D167" s="38" t="s">
        <v>932</v>
      </c>
      <c r="E167" s="40" t="s">
        <v>931</v>
      </c>
      <c r="F167" s="41" t="n">
        <f aca="false">INDEX('Takeoff Detail'!$R:$R,MATCH(E167,'Takeoff Detail'!$A:$A,0))</f>
        <v>1700</v>
      </c>
      <c r="G167" s="42" t="str">
        <f aca="false">INDEX('Takeoff Detail'!$P:$P,MATCH(E167,'Takeoff Detail'!$A:$A,0))</f>
        <v>SF</v>
      </c>
      <c r="H167" s="40" t="s">
        <v>931</v>
      </c>
      <c r="I167" s="43" t="n">
        <f aca="false">INDEX('Cost Database'!$E:$E,MATCH(H167,'Cost Database'!$A:$A,0))</f>
        <v>0.55</v>
      </c>
      <c r="J167" s="43" t="n">
        <f aca="false">INDEX('Cost Database'!$F:$F,MATCH(H167,'Cost Database'!$A:$A,0))</f>
        <v>0.3</v>
      </c>
      <c r="K167" s="43" t="n">
        <f aca="false">INDEX('Cost Database'!$G:$G,MATCH(H167,'Cost Database'!$A:$A,0))</f>
        <v>0</v>
      </c>
      <c r="L167" s="18" t="n">
        <f aca="false">F167*I167</f>
        <v>935</v>
      </c>
      <c r="M167" s="18" t="n">
        <f aca="false">F167*J167</f>
        <v>510</v>
      </c>
      <c r="N167" s="18" t="n">
        <f aca="false">F167*K167</f>
        <v>0</v>
      </c>
      <c r="O167" s="18" t="n">
        <f aca="false">L167+M167+N167</f>
        <v>1445</v>
      </c>
      <c r="P167" s="42" t="str">
        <f aca="false">INDEX('Takeoff Detail'!$U:$U,MATCH(E167,'Takeoff Detail'!$A:$A,0))</f>
        <v>Assumed</v>
      </c>
      <c r="Q167" s="42" t="str">
        <f aca="false">INDEX('Takeoff Detail'!$V:$V,MATCH(E167,'Takeoff Detail'!$A:$A,0))</f>
        <v>Medium</v>
      </c>
      <c r="R167" s="19" t="n">
        <f aca="false">O167/Summary!$C$4</f>
        <v>1.06878698224852</v>
      </c>
    </row>
    <row r="168" customFormat="false" ht="15" hidden="false" customHeight="false" outlineLevel="0" collapsed="false">
      <c r="A168" s="40" t="n">
        <v>167</v>
      </c>
      <c r="B168" s="40" t="s">
        <v>86</v>
      </c>
      <c r="C168" s="40" t="s">
        <v>87</v>
      </c>
      <c r="D168" s="38" t="s">
        <v>936</v>
      </c>
      <c r="E168" s="40" t="s">
        <v>935</v>
      </c>
      <c r="F168" s="41" t="n">
        <f aca="false">INDEX('Takeoff Detail'!$R:$R,MATCH(E168,'Takeoff Detail'!$A:$A,0))</f>
        <v>3360.16</v>
      </c>
      <c r="G168" s="42" t="str">
        <f aca="false">INDEX('Takeoff Detail'!$P:$P,MATCH(E168,'Takeoff Detail'!$A:$A,0))</f>
        <v>SF</v>
      </c>
      <c r="H168" s="40" t="s">
        <v>935</v>
      </c>
      <c r="I168" s="43" t="n">
        <f aca="false">INDEX('Cost Database'!$E:$E,MATCH(H168,'Cost Database'!$A:$A,0))</f>
        <v>0.08</v>
      </c>
      <c r="J168" s="43" t="n">
        <f aca="false">INDEX('Cost Database'!$F:$F,MATCH(H168,'Cost Database'!$A:$A,0))</f>
        <v>0.06</v>
      </c>
      <c r="K168" s="43" t="n">
        <f aca="false">INDEX('Cost Database'!$G:$G,MATCH(H168,'Cost Database'!$A:$A,0))</f>
        <v>0</v>
      </c>
      <c r="L168" s="18" t="n">
        <f aca="false">F168*I168</f>
        <v>268.8128</v>
      </c>
      <c r="M168" s="18" t="n">
        <f aca="false">F168*J168</f>
        <v>201.6096</v>
      </c>
      <c r="N168" s="18" t="n">
        <f aca="false">F168*K168</f>
        <v>0</v>
      </c>
      <c r="O168" s="18" t="n">
        <f aca="false">L168+M168+N168</f>
        <v>470.4224</v>
      </c>
      <c r="P168" s="42" t="str">
        <f aca="false">INDEX('Takeoff Detail'!$U:$U,MATCH(E168,'Takeoff Detail'!$A:$A,0))</f>
        <v>Calculated</v>
      </c>
      <c r="Q168" s="42" t="str">
        <f aca="false">INDEX('Takeoff Detail'!$V:$V,MATCH(E168,'Takeoff Detail'!$A:$A,0))</f>
        <v>Medium</v>
      </c>
      <c r="R168" s="19" t="n">
        <f aca="false">O168/Summary!$C$4</f>
        <v>0.347945562130177</v>
      </c>
    </row>
    <row r="169" customFormat="false" ht="15" hidden="false" customHeight="false" outlineLevel="0" collapsed="false">
      <c r="A169" s="40" t="n">
        <v>168</v>
      </c>
      <c r="B169" s="40" t="s">
        <v>88</v>
      </c>
      <c r="C169" s="40" t="s">
        <v>89</v>
      </c>
      <c r="D169" s="38" t="s">
        <v>940</v>
      </c>
      <c r="E169" s="40" t="s">
        <v>939</v>
      </c>
      <c r="F169" s="41" t="n">
        <f aca="false">INDEX('Takeoff Detail'!$R:$R,MATCH(E169,'Takeoff Detail'!$A:$A,0))</f>
        <v>45</v>
      </c>
      <c r="G169" s="42" t="str">
        <f aca="false">INDEX('Takeoff Detail'!$P:$P,MATCH(E169,'Takeoff Detail'!$A:$A,0))</f>
        <v>LF</v>
      </c>
      <c r="H169" s="40" t="s">
        <v>939</v>
      </c>
      <c r="I169" s="43" t="n">
        <f aca="false">INDEX('Cost Database'!$E:$E,MATCH(H169,'Cost Database'!$A:$A,0))</f>
        <v>0</v>
      </c>
      <c r="J169" s="43" t="n">
        <f aca="false">INDEX('Cost Database'!$F:$F,MATCH(H169,'Cost Database'!$A:$A,0))</f>
        <v>0</v>
      </c>
      <c r="K169" s="43" t="n">
        <f aca="false">INDEX('Cost Database'!$G:$G,MATCH(H169,'Cost Database'!$A:$A,0))</f>
        <v>14</v>
      </c>
      <c r="L169" s="18" t="n">
        <f aca="false">F169*I169</f>
        <v>0</v>
      </c>
      <c r="M169" s="18" t="n">
        <f aca="false">F169*J169</f>
        <v>0</v>
      </c>
      <c r="N169" s="18" t="n">
        <f aca="false">F169*K169</f>
        <v>630</v>
      </c>
      <c r="O169" s="18" t="n">
        <f aca="false">L169+M169+N169</f>
        <v>630</v>
      </c>
      <c r="P169" s="42" t="str">
        <f aca="false">INDEX('Takeoff Detail'!$U:$U,MATCH(E169,'Takeoff Detail'!$A:$A,0))</f>
        <v>Assumed</v>
      </c>
      <c r="Q169" s="42" t="str">
        <f aca="false">INDEX('Takeoff Detail'!$V:$V,MATCH(E169,'Takeoff Detail'!$A:$A,0))</f>
        <v>Low</v>
      </c>
      <c r="R169" s="19" t="n">
        <f aca="false">O169/Summary!$C$4</f>
        <v>0.465976331360947</v>
      </c>
    </row>
    <row r="170" customFormat="false" ht="15" hidden="false" customHeight="false" outlineLevel="0" collapsed="false">
      <c r="A170" s="40" t="n">
        <v>169</v>
      </c>
      <c r="B170" s="40" t="s">
        <v>88</v>
      </c>
      <c r="C170" s="40" t="s">
        <v>89</v>
      </c>
      <c r="D170" s="38" t="s">
        <v>944</v>
      </c>
      <c r="E170" s="40" t="s">
        <v>943</v>
      </c>
      <c r="F170" s="41" t="n">
        <f aca="false">INDEX('Takeoff Detail'!$R:$R,MATCH(E170,'Takeoff Detail'!$A:$A,0))</f>
        <v>50</v>
      </c>
      <c r="G170" s="42" t="str">
        <f aca="false">INDEX('Takeoff Detail'!$P:$P,MATCH(E170,'Takeoff Detail'!$A:$A,0))</f>
        <v>LF</v>
      </c>
      <c r="H170" s="40" t="s">
        <v>943</v>
      </c>
      <c r="I170" s="43" t="n">
        <f aca="false">INDEX('Cost Database'!$E:$E,MATCH(H170,'Cost Database'!$A:$A,0))</f>
        <v>0</v>
      </c>
      <c r="J170" s="43" t="n">
        <f aca="false">INDEX('Cost Database'!$F:$F,MATCH(H170,'Cost Database'!$A:$A,0))</f>
        <v>0</v>
      </c>
      <c r="K170" s="43" t="n">
        <f aca="false">INDEX('Cost Database'!$G:$G,MATCH(H170,'Cost Database'!$A:$A,0))</f>
        <v>26</v>
      </c>
      <c r="L170" s="18" t="n">
        <f aca="false">F170*I170</f>
        <v>0</v>
      </c>
      <c r="M170" s="18" t="n">
        <f aca="false">F170*J170</f>
        <v>0</v>
      </c>
      <c r="N170" s="18" t="n">
        <f aca="false">F170*K170</f>
        <v>1300</v>
      </c>
      <c r="O170" s="18" t="n">
        <f aca="false">L170+M170+N170</f>
        <v>1300</v>
      </c>
      <c r="P170" s="42" t="str">
        <f aca="false">INDEX('Takeoff Detail'!$U:$U,MATCH(E170,'Takeoff Detail'!$A:$A,0))</f>
        <v>Assumed</v>
      </c>
      <c r="Q170" s="42" t="str">
        <f aca="false">INDEX('Takeoff Detail'!$V:$V,MATCH(E170,'Takeoff Detail'!$A:$A,0))</f>
        <v>Low</v>
      </c>
      <c r="R170" s="19" t="n">
        <f aca="false">O170/Summary!$C$4</f>
        <v>0.961538461538462</v>
      </c>
    </row>
    <row r="171" customFormat="false" ht="15" hidden="false" customHeight="false" outlineLevel="0" collapsed="false">
      <c r="A171" s="40" t="n">
        <v>170</v>
      </c>
      <c r="B171" s="40" t="s">
        <v>88</v>
      </c>
      <c r="C171" s="40" t="s">
        <v>89</v>
      </c>
      <c r="D171" s="38" t="s">
        <v>946</v>
      </c>
      <c r="E171" s="40" t="s">
        <v>945</v>
      </c>
      <c r="F171" s="41" t="n">
        <f aca="false">INDEX('Takeoff Detail'!$R:$R,MATCH(E171,'Takeoff Detail'!$A:$A,0))</f>
        <v>1</v>
      </c>
      <c r="G171" s="42" t="str">
        <f aca="false">INDEX('Takeoff Detail'!$P:$P,MATCH(E171,'Takeoff Detail'!$A:$A,0))</f>
        <v>LS</v>
      </c>
      <c r="H171" s="40" t="s">
        <v>945</v>
      </c>
      <c r="I171" s="43" t="n">
        <f aca="false">INDEX('Cost Database'!$E:$E,MATCH(H171,'Cost Database'!$A:$A,0))</f>
        <v>0</v>
      </c>
      <c r="J171" s="43" t="n">
        <f aca="false">INDEX('Cost Database'!$F:$F,MATCH(H171,'Cost Database'!$A:$A,0))</f>
        <v>0</v>
      </c>
      <c r="K171" s="43" t="n">
        <f aca="false">INDEX('Cost Database'!$G:$G,MATCH(H171,'Cost Database'!$A:$A,0))</f>
        <v>3500</v>
      </c>
      <c r="L171" s="18" t="n">
        <f aca="false">F171*I171</f>
        <v>0</v>
      </c>
      <c r="M171" s="18" t="n">
        <f aca="false">F171*J171</f>
        <v>0</v>
      </c>
      <c r="N171" s="18" t="n">
        <f aca="false">F171*K171</f>
        <v>3500</v>
      </c>
      <c r="O171" s="18" t="n">
        <f aca="false">L171+M171+N171</f>
        <v>3500</v>
      </c>
      <c r="P171" s="42" t="str">
        <f aca="false">INDEX('Takeoff Detail'!$U:$U,MATCH(E171,'Takeoff Detail'!$A:$A,0))</f>
        <v>Allowance</v>
      </c>
      <c r="Q171" s="42" t="str">
        <f aca="false">INDEX('Takeoff Detail'!$V:$V,MATCH(E171,'Takeoff Detail'!$A:$A,0))</f>
        <v>Low</v>
      </c>
      <c r="R171" s="19" t="n">
        <f aca="false">O171/Summary!$C$4</f>
        <v>2.5887573964497</v>
      </c>
    </row>
    <row r="172" customFormat="false" ht="15" hidden="false" customHeight="false" outlineLevel="0" collapsed="false">
      <c r="A172" s="40" t="n">
        <v>171</v>
      </c>
      <c r="B172" s="40" t="s">
        <v>88</v>
      </c>
      <c r="C172" s="40" t="s">
        <v>89</v>
      </c>
      <c r="D172" s="38" t="s">
        <v>950</v>
      </c>
      <c r="E172" s="40" t="s">
        <v>949</v>
      </c>
      <c r="F172" s="41" t="n">
        <f aca="false">INDEX('Takeoff Detail'!$R:$R,MATCH(E172,'Takeoff Detail'!$A:$A,0))</f>
        <v>60</v>
      </c>
      <c r="G172" s="42" t="str">
        <f aca="false">INDEX('Takeoff Detail'!$P:$P,MATCH(E172,'Takeoff Detail'!$A:$A,0))</f>
        <v>LF</v>
      </c>
      <c r="H172" s="40" t="s">
        <v>949</v>
      </c>
      <c r="I172" s="43" t="n">
        <f aca="false">INDEX('Cost Database'!$E:$E,MATCH(H172,'Cost Database'!$A:$A,0))</f>
        <v>0</v>
      </c>
      <c r="J172" s="43" t="n">
        <f aca="false">INDEX('Cost Database'!$F:$F,MATCH(H172,'Cost Database'!$A:$A,0))</f>
        <v>0</v>
      </c>
      <c r="K172" s="43" t="n">
        <f aca="false">INDEX('Cost Database'!$G:$G,MATCH(H172,'Cost Database'!$A:$A,0))</f>
        <v>16</v>
      </c>
      <c r="L172" s="18" t="n">
        <f aca="false">F172*I172</f>
        <v>0</v>
      </c>
      <c r="M172" s="18" t="n">
        <f aca="false">F172*J172</f>
        <v>0</v>
      </c>
      <c r="N172" s="18" t="n">
        <f aca="false">F172*K172</f>
        <v>960</v>
      </c>
      <c r="O172" s="18" t="n">
        <f aca="false">L172+M172+N172</f>
        <v>960</v>
      </c>
      <c r="P172" s="42" t="str">
        <f aca="false">INDEX('Takeoff Detail'!$U:$U,MATCH(E172,'Takeoff Detail'!$A:$A,0))</f>
        <v>Assumed</v>
      </c>
      <c r="Q172" s="42" t="str">
        <f aca="false">INDEX('Takeoff Detail'!$V:$V,MATCH(E172,'Takeoff Detail'!$A:$A,0))</f>
        <v>Low</v>
      </c>
      <c r="R172" s="19" t="n">
        <f aca="false">O172/Summary!$C$4</f>
        <v>0.710059171597633</v>
      </c>
    </row>
    <row r="173" customFormat="false" ht="15" hidden="false" customHeight="false" outlineLevel="0" collapsed="false">
      <c r="A173" s="40" t="n">
        <v>172</v>
      </c>
      <c r="B173" s="40" t="s">
        <v>88</v>
      </c>
      <c r="C173" s="40" t="s">
        <v>89</v>
      </c>
      <c r="D173" s="38" t="s">
        <v>952</v>
      </c>
      <c r="E173" s="40" t="s">
        <v>951</v>
      </c>
      <c r="F173" s="41" t="n">
        <f aca="false">INDEX('Takeoff Detail'!$R:$R,MATCH(E173,'Takeoff Detail'!$A:$A,0))</f>
        <v>1</v>
      </c>
      <c r="G173" s="42" t="str">
        <f aca="false">INDEX('Takeoff Detail'!$P:$P,MATCH(E173,'Takeoff Detail'!$A:$A,0))</f>
        <v>LS</v>
      </c>
      <c r="H173" s="40" t="s">
        <v>951</v>
      </c>
      <c r="I173" s="43" t="n">
        <f aca="false">INDEX('Cost Database'!$E:$E,MATCH(H173,'Cost Database'!$A:$A,0))</f>
        <v>0</v>
      </c>
      <c r="J173" s="43" t="n">
        <f aca="false">INDEX('Cost Database'!$F:$F,MATCH(H173,'Cost Database'!$A:$A,0))</f>
        <v>0</v>
      </c>
      <c r="K173" s="43" t="n">
        <f aca="false">INDEX('Cost Database'!$G:$G,MATCH(H173,'Cost Database'!$A:$A,0))</f>
        <v>800</v>
      </c>
      <c r="L173" s="18" t="n">
        <f aca="false">F173*I173</f>
        <v>0</v>
      </c>
      <c r="M173" s="18" t="n">
        <f aca="false">F173*J173</f>
        <v>0</v>
      </c>
      <c r="N173" s="18" t="n">
        <f aca="false">F173*K173</f>
        <v>800</v>
      </c>
      <c r="O173" s="18" t="n">
        <f aca="false">L173+M173+N173</f>
        <v>800</v>
      </c>
      <c r="P173" s="42" t="str">
        <f aca="false">INDEX('Takeoff Detail'!$U:$U,MATCH(E173,'Takeoff Detail'!$A:$A,0))</f>
        <v>Allowance</v>
      </c>
      <c r="Q173" s="42" t="str">
        <f aca="false">INDEX('Takeoff Detail'!$V:$V,MATCH(E173,'Takeoff Detail'!$A:$A,0))</f>
        <v>Low</v>
      </c>
      <c r="R173" s="19" t="n">
        <f aca="false">O173/Summary!$C$4</f>
        <v>0.591715976331361</v>
      </c>
    </row>
    <row r="174" customFormat="false" ht="15" hidden="false" customHeight="false" outlineLevel="0" collapsed="false">
      <c r="D174" s="2" t="s">
        <v>90</v>
      </c>
      <c r="L174" s="44" t="n">
        <f aca="false">SUBTOTAL(109,L2:L173)</f>
        <v>112469.357914179</v>
      </c>
      <c r="M174" s="44" t="n">
        <f aca="false">SUBTOTAL(109,M2:M173)</f>
        <v>100225.27780552</v>
      </c>
      <c r="N174" s="44" t="n">
        <f aca="false">SUBTOTAL(109,N2:N173)</f>
        <v>42988.058</v>
      </c>
      <c r="O174" s="44" t="n">
        <f aca="false">SUBTOTAL(109,O2:O173)</f>
        <v>255682.693719699</v>
      </c>
    </row>
  </sheetData>
  <conditionalFormatting sqref="A2:R173">
    <cfRule type="expression" priority="2" aboveAverage="0" equalAverage="0" bottom="0" percent="0" rank="0" text="" dxfId="7">
      <formula>$Q2="Low"</formula>
    </cfRule>
    <cfRule type="expression" priority="3" aboveAverage="0" equalAverage="0" bottom="0" percent="0" rank="0" text="" dxfId="8">
      <formula>OR($P2="Assumed",$P2="Allowance")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&amp;CSFH Development - Preliminary Estimate - Page &amp;P of &amp;N</oddFooter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70"/>
    <col collapsed="false" customWidth="true" hidden="false" outlineLevel="0" max="8" min="8" style="0" width="14"/>
  </cols>
  <sheetData>
    <row r="1" customFormat="false" ht="30" hidden="false" customHeight="true" outlineLevel="0" collapsed="false">
      <c r="A1" s="29" t="s">
        <v>972</v>
      </c>
      <c r="B1" s="29" t="s">
        <v>973</v>
      </c>
      <c r="C1" s="29" t="s">
        <v>974</v>
      </c>
      <c r="D1" s="29" t="s">
        <v>309</v>
      </c>
      <c r="E1" s="29" t="s">
        <v>975</v>
      </c>
      <c r="F1" s="29" t="s">
        <v>976</v>
      </c>
      <c r="G1" s="29" t="s">
        <v>977</v>
      </c>
      <c r="H1" s="29" t="s">
        <v>978</v>
      </c>
    </row>
    <row r="2" customFormat="false" ht="28.35" hidden="false" customHeight="false" outlineLevel="0" collapsed="false">
      <c r="A2" s="17" t="s">
        <v>979</v>
      </c>
      <c r="B2" s="41" t="n">
        <f aca="false">'Takeoff Detail'!O14</f>
        <v>1347.5</v>
      </c>
      <c r="C2" s="33" t="n">
        <v>1352</v>
      </c>
      <c r="D2" s="17" t="s">
        <v>357</v>
      </c>
      <c r="E2" s="35" t="n">
        <f aca="false">B2-C2</f>
        <v>-4.50000000000023</v>
      </c>
      <c r="F2" s="20" t="n">
        <f aca="false">IF(C2=0,"",(B2-C2)/C2)</f>
        <v>-0.00332840236686407</v>
      </c>
      <c r="G2" s="30" t="s">
        <v>980</v>
      </c>
      <c r="H2" s="17" t="s">
        <v>981</v>
      </c>
    </row>
    <row r="3" customFormat="false" ht="28.35" hidden="false" customHeight="false" outlineLevel="0" collapsed="false">
      <c r="A3" s="17" t="s">
        <v>982</v>
      </c>
      <c r="B3" s="41" t="n">
        <f aca="false">'Takeoff Detail'!O33</f>
        <v>124.25</v>
      </c>
      <c r="C3" s="33" t="n">
        <v>117</v>
      </c>
      <c r="D3" s="17" t="s">
        <v>357</v>
      </c>
      <c r="E3" s="35" t="n">
        <f aca="false">B3-C3</f>
        <v>7.2500000000001</v>
      </c>
      <c r="F3" s="20" t="n">
        <f aca="false">IF(C3=0,"",(B3-C3)/C3)</f>
        <v>0.0619658119658128</v>
      </c>
      <c r="G3" s="30" t="s">
        <v>983</v>
      </c>
      <c r="H3" s="17" t="s">
        <v>984</v>
      </c>
    </row>
    <row r="4" customFormat="false" ht="15" hidden="false" customHeight="false" outlineLevel="0" collapsed="false">
      <c r="A4" s="17" t="s">
        <v>985</v>
      </c>
      <c r="B4" s="41" t="n">
        <f aca="false">'Takeoff Detail'!J77*'Takeoff Detail'!K77</f>
        <v>504</v>
      </c>
      <c r="C4" s="33" t="n">
        <v>504</v>
      </c>
      <c r="D4" s="17" t="s">
        <v>357</v>
      </c>
      <c r="E4" s="35" t="n">
        <f aca="false">B4-C4</f>
        <v>0</v>
      </c>
      <c r="F4" s="20" t="n">
        <f aca="false">IF(C4=0,"",(B4-C4)/C4)</f>
        <v>0</v>
      </c>
      <c r="G4" s="30" t="s">
        <v>986</v>
      </c>
      <c r="H4" s="17" t="s">
        <v>981</v>
      </c>
    </row>
    <row r="5" customFormat="false" ht="15" hidden="false" customHeight="false" outlineLevel="0" collapsed="false">
      <c r="A5" s="17" t="s">
        <v>987</v>
      </c>
      <c r="B5" s="41" t="n">
        <f aca="false">'Takeoff Detail'!O12</f>
        <v>1975.75</v>
      </c>
      <c r="C5" s="33" t="n">
        <v>1973</v>
      </c>
      <c r="D5" s="17" t="s">
        <v>357</v>
      </c>
      <c r="E5" s="35" t="n">
        <f aca="false">B5-C5</f>
        <v>2.75</v>
      </c>
      <c r="F5" s="20" t="n">
        <f aca="false">IF(C5=0,"",(B5-C5)/C5)</f>
        <v>0.00139381652306133</v>
      </c>
      <c r="G5" s="30" t="s">
        <v>988</v>
      </c>
      <c r="H5" s="17" t="s">
        <v>981</v>
      </c>
    </row>
    <row r="6" customFormat="false" ht="15" hidden="false" customHeight="false" outlineLevel="0" collapsed="false">
      <c r="A6" s="17" t="s">
        <v>989</v>
      </c>
      <c r="B6" s="41" t="n">
        <f aca="false">'Takeoff Detail'!O29</f>
        <v>1975.75</v>
      </c>
      <c r="C6" s="33" t="n">
        <v>1975.75</v>
      </c>
      <c r="D6" s="17" t="s">
        <v>357</v>
      </c>
      <c r="E6" s="35" t="n">
        <f aca="false">B6-C6</f>
        <v>0</v>
      </c>
      <c r="F6" s="20" t="n">
        <f aca="false">IF(C6=0,"",(B6-C6)/C6)</f>
        <v>0</v>
      </c>
      <c r="G6" s="30" t="s">
        <v>990</v>
      </c>
      <c r="H6" s="17" t="s">
        <v>981</v>
      </c>
    </row>
    <row r="7" customFormat="false" ht="15" hidden="false" customHeight="false" outlineLevel="0" collapsed="false">
      <c r="A7" s="17" t="s">
        <v>991</v>
      </c>
      <c r="B7" s="41" t="n">
        <f aca="false">'Takeoff Detail'!O37</f>
        <v>182.17</v>
      </c>
      <c r="C7" s="33" t="n">
        <v>182.17</v>
      </c>
      <c r="D7" s="17" t="s">
        <v>401</v>
      </c>
      <c r="E7" s="35" t="n">
        <f aca="false">B7-C7</f>
        <v>0</v>
      </c>
      <c r="F7" s="20" t="n">
        <f aca="false">IF(C7=0,"",(B7-C7)/C7)</f>
        <v>0</v>
      </c>
      <c r="G7" s="30" t="s">
        <v>992</v>
      </c>
      <c r="H7" s="17" t="s">
        <v>981</v>
      </c>
    </row>
    <row r="8" customFormat="false" ht="28.35" hidden="false" customHeight="false" outlineLevel="0" collapsed="false">
      <c r="A8" s="17" t="s">
        <v>993</v>
      </c>
      <c r="B8" s="41" t="n">
        <f aca="false">'Takeoff Detail'!O41</f>
        <v>138.56</v>
      </c>
      <c r="C8" s="33" t="n">
        <v>138.56</v>
      </c>
      <c r="D8" s="17" t="s">
        <v>401</v>
      </c>
      <c r="E8" s="35" t="n">
        <f aca="false">B8-C8</f>
        <v>0</v>
      </c>
      <c r="F8" s="20" t="n">
        <f aca="false">IF(C8=0,"",(B8-C8)/C8)</f>
        <v>0</v>
      </c>
      <c r="G8" s="30" t="s">
        <v>994</v>
      </c>
      <c r="H8" s="17" t="s">
        <v>995</v>
      </c>
    </row>
    <row r="9" customFormat="false" ht="28.35" hidden="false" customHeight="false" outlineLevel="0" collapsed="false">
      <c r="A9" s="17" t="s">
        <v>996</v>
      </c>
      <c r="B9" s="41" t="n">
        <f aca="false">'Takeoff Detail'!I87+'Takeoff Detail'!I88+'Takeoff Detail'!I89+'Takeoff Detail'!I90</f>
        <v>11</v>
      </c>
      <c r="C9" s="33" t="n">
        <v>11</v>
      </c>
      <c r="D9" s="17" t="s">
        <v>345</v>
      </c>
      <c r="E9" s="35" t="n">
        <f aca="false">B9-C9</f>
        <v>0</v>
      </c>
      <c r="F9" s="20" t="n">
        <f aca="false">IF(C9=0,"",(B9-C9)/C9)</f>
        <v>0</v>
      </c>
      <c r="G9" s="30" t="s">
        <v>997</v>
      </c>
      <c r="H9" s="17" t="s">
        <v>981</v>
      </c>
    </row>
    <row r="10" customFormat="false" ht="15" hidden="false" customHeight="false" outlineLevel="0" collapsed="false">
      <c r="A10" s="17" t="s">
        <v>998</v>
      </c>
      <c r="B10" s="41" t="n">
        <f aca="false">'Takeoff Detail'!I91+'Takeoff Detail'!I92+'Takeoff Detail'!I93</f>
        <v>3</v>
      </c>
      <c r="C10" s="33" t="n">
        <v>3</v>
      </c>
      <c r="D10" s="17" t="s">
        <v>345</v>
      </c>
      <c r="E10" s="35" t="n">
        <f aca="false">B10-C10</f>
        <v>0</v>
      </c>
      <c r="F10" s="20" t="n">
        <f aca="false">IF(C10=0,"",(B10-C10)/C10)</f>
        <v>0</v>
      </c>
      <c r="G10" s="30"/>
      <c r="H10" s="17" t="s">
        <v>981</v>
      </c>
    </row>
    <row r="11" customFormat="false" ht="15" hidden="false" customHeight="false" outlineLevel="0" collapsed="false">
      <c r="A11" s="17" t="s">
        <v>999</v>
      </c>
      <c r="B11" s="41" t="n">
        <f aca="false">'Takeoff Detail'!I94+'Takeoff Detail'!I95</f>
        <v>7</v>
      </c>
      <c r="C11" s="33" t="n">
        <v>7</v>
      </c>
      <c r="D11" s="17" t="s">
        <v>345</v>
      </c>
      <c r="E11" s="35" t="n">
        <f aca="false">B11-C11</f>
        <v>0</v>
      </c>
      <c r="F11" s="20" t="n">
        <f aca="false">IF(C11=0,"",(B11-C11)/C11)</f>
        <v>0</v>
      </c>
      <c r="G11" s="30"/>
      <c r="H11" s="17" t="s">
        <v>981</v>
      </c>
    </row>
    <row r="12" customFormat="false" ht="15" hidden="false" customHeight="false" outlineLevel="0" collapsed="false">
      <c r="A12" s="17" t="s">
        <v>1000</v>
      </c>
      <c r="B12" s="41" t="n">
        <f aca="false">'Takeoff Detail'!O70*100</f>
        <v>2470.678262</v>
      </c>
      <c r="C12" s="33" t="n">
        <v>2470.76</v>
      </c>
      <c r="D12" s="17" t="s">
        <v>357</v>
      </c>
      <c r="E12" s="35" t="n">
        <f aca="false">B12-C12</f>
        <v>-0.0817379999998593</v>
      </c>
      <c r="F12" s="20" t="n">
        <f aca="false">IF(C12=0,"",(B12-C12)/C12)</f>
        <v>-3.30821285757659E-005</v>
      </c>
      <c r="G12" s="30" t="s">
        <v>1001</v>
      </c>
      <c r="H12" s="17" t="s">
        <v>981</v>
      </c>
    </row>
    <row r="13" customFormat="false" ht="15" hidden="false" customHeight="false" outlineLevel="0" collapsed="false">
      <c r="A13" s="17" t="s">
        <v>1002</v>
      </c>
      <c r="B13" s="41" t="n">
        <f aca="false">'Takeoff Detail'!I46+'Takeoff Detail'!I47+'Takeoff Detail'!I48</f>
        <v>25</v>
      </c>
      <c r="C13" s="33" t="n">
        <v>25</v>
      </c>
      <c r="D13" s="17" t="s">
        <v>345</v>
      </c>
      <c r="E13" s="35" t="n">
        <f aca="false">B13-C13</f>
        <v>0</v>
      </c>
      <c r="F13" s="20" t="n">
        <f aca="false">IF(C13=0,"",(B13-C13)/C13)</f>
        <v>0</v>
      </c>
      <c r="G13" s="30" t="s">
        <v>1003</v>
      </c>
      <c r="H13" s="17" t="s">
        <v>981</v>
      </c>
    </row>
    <row r="14" customFormat="false" ht="15" hidden="false" customHeight="false" outlineLevel="0" collapsed="false">
      <c r="A14" s="17" t="s">
        <v>1004</v>
      </c>
      <c r="B14" s="41" t="n">
        <f aca="false">'Takeoff Detail'!I153+'Takeoff Detail'!I154+'Takeoff Detail'!I155</f>
        <v>28</v>
      </c>
      <c r="C14" s="33" t="n">
        <v>28</v>
      </c>
      <c r="D14" s="17" t="s">
        <v>345</v>
      </c>
      <c r="E14" s="35" t="n">
        <f aca="false">B14-C14</f>
        <v>0</v>
      </c>
      <c r="F14" s="20" t="n">
        <f aca="false">IF(C14=0,"",(B14-C14)/C14)</f>
        <v>0</v>
      </c>
      <c r="G14" s="30" t="s">
        <v>1005</v>
      </c>
      <c r="H14" s="17" t="s">
        <v>981</v>
      </c>
    </row>
    <row r="15" customFormat="false" ht="28.35" hidden="false" customHeight="false" outlineLevel="0" collapsed="false">
      <c r="A15" s="17" t="s">
        <v>1006</v>
      </c>
      <c r="B15" s="41" t="n">
        <v>70.083</v>
      </c>
      <c r="C15" s="33" t="n">
        <v>70</v>
      </c>
      <c r="D15" s="17" t="s">
        <v>1007</v>
      </c>
      <c r="E15" s="35" t="n">
        <f aca="false">B15-C15</f>
        <v>0.0829999999999984</v>
      </c>
      <c r="F15" s="20" t="n">
        <f aca="false">IF(C15=0,"",(B15-C15)/C15)</f>
        <v>0.00118571428571426</v>
      </c>
      <c r="G15" s="30" t="s">
        <v>1008</v>
      </c>
      <c r="H15" s="17" t="s">
        <v>984</v>
      </c>
    </row>
    <row r="16" customFormat="false" ht="15" hidden="false" customHeight="false" outlineLevel="0" collapsed="false">
      <c r="A16" s="17" t="s">
        <v>1009</v>
      </c>
      <c r="B16" s="41" t="n">
        <v>18.81</v>
      </c>
      <c r="C16" s="33" t="n">
        <v>18.74</v>
      </c>
      <c r="D16" s="17" t="s">
        <v>1010</v>
      </c>
      <c r="E16" s="35" t="n">
        <f aca="false">B16-C16</f>
        <v>0.0700000000000003</v>
      </c>
      <c r="F16" s="20" t="n">
        <f aca="false">IF(C16=0,"",(B16-C16)/C16)</f>
        <v>0.00373532550693705</v>
      </c>
      <c r="G16" s="30" t="s">
        <v>1011</v>
      </c>
      <c r="H16" s="17" t="s">
        <v>981</v>
      </c>
    </row>
  </sheetData>
  <conditionalFormatting sqref="F2:F16">
    <cfRule type="expression" priority="2" aboveAverage="0" equalAverage="0" bottom="0" percent="0" rank="0" text="" dxfId="7">
      <formula>AND(ISNUMBER(F2),ABS(F2)&gt;0.05)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&amp;CSFH Development - Preliminary Estimate -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2026-10-15T19:45:21Z</dcterms:created>
  <dc:creator>Preliminary estimate (estimator review required)</dc:creator>
  <dc:description/>
  <dc:language>en-US</dc:language>
  <cp:lastModifiedBy/>
  <dcterms:modified xsi:type="dcterms:W3CDTF">2026-10-15T19:45:21Z</dcterms:modified>
  <cp:revision>0</cp:revision>
  <dc:subject/>
  <dc:title>SFH Development - Takeoff &amp; Preliminary Estimate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